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1122ac14246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2e1cb31cdf7b4f4f"/>
    <x:sheet xmlns:r="http://schemas.openxmlformats.org/officeDocument/2006/relationships" name="Source_Register" sheetId="2" r:id="Rf1c8f6b873c140fc"/>
    <x:sheet xmlns:r="http://schemas.openxmlformats.org/officeDocument/2006/relationships" name="Raw_Data" sheetId="3" r:id="R5fc4cd97f0f243bb"/>
    <x:sheet xmlns:r="http://schemas.openxmlformats.org/officeDocument/2006/relationships" name="Ratio_Calculations" sheetId="4" r:id="Rda661076531d4c58"/>
    <x:sheet xmlns:r="http://schemas.openxmlformats.org/officeDocument/2006/relationships" name="Validation_Checks" sheetId="5" r:id="R0fa39008f1d8403b"/>
    <x:sheet xmlns:r="http://schemas.openxmlformats.org/officeDocument/2006/relationships" name="Comparison" sheetId="6" r:id="Rcd6589358a364e1e"/>
  </x:sheets>
  <x:definedNames>
    <x:definedName name="_xlnm.Print_Area" localSheetId="0">Read_Me!$A$1:$B$21</x:definedName>
    <x:definedName name="_xlnm.Print_Area" localSheetId="1">Source_Register!$A$1:$H$9</x:definedName>
    <x:definedName name="_xlnm.Print_Area" localSheetId="2">Raw_Data!$A$1:$I$27</x:definedName>
    <x:definedName name="_xlnm.Print_Area" localSheetId="3">Ratio_Calculations!$A$1:$F$25</x:definedName>
    <x:definedName name="_xlnm.Print_Area" localSheetId="4">Validation_Checks!$A$1:$F$33</x:definedName>
    <x:definedName name="_xlnm.Print_Area" localSheetId="5">Comparison!$A$1:$F$52</x:definedName>
    <x:definedName name="_xlnm.Print_Titles" localSheetId="1">Source_Register!$4:$4</x:definedName>
    <x:definedName name="_xlnm.Print_Titles" localSheetId="2">Raw_Data!$4:$4</x:definedName>
    <x:definedName name="_xlnm.Print_Titles" localSheetId="3">Ratio_Calculations!$4:$4</x:definedName>
    <x:definedName name="_xlnm.Print_Titles" localSheetId="4">Validation_Checks!$4:$4</x:definedName>
  </x:definedNames>
  <x:calcPr calcId="191029" fullCalcOnLoad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;(#,##0);&quot;-&quot;"/>
    <x:numFmt numFmtId="201" formatCode="0.0%"/>
    <x:numFmt numFmtId="202" formatCode="#,##0.0"/>
    <x:numFmt numFmtId="203" formatCode="0.00%"/>
    <x:numFmt numFmtId="204" formatCode="0.00000;(0.00000);0.00000"/>
    <x:numFmt numFmtId="205" formatCode="0.00000"/>
    <x:numFmt numFmtId="206" formatCode="0.00;[Red](0.00);0.00"/>
    <x:numFmt numFmtId="207" formatCode="0.00"/>
  </x:numFmts>
  <x:fonts count="9">
    <x:font>
      <x:sz val="11"/>
      <x:name val="Carlito"/>
    </x:font>
    <x:font>
      <x:sz val="10"/>
      <x:color rgb="FF243746"/>
      <x:name val="Arial"/>
    </x:font>
    <x:font>
      <x:b/>
      <x:sz val="16"/>
      <x:color rgb="FF17324D"/>
      <x:name val="Arial"/>
    </x:font>
    <x:font>
      <x:b/>
      <x:sz val="10"/>
      <x:color rgb="FF243746"/>
      <x:name val="Arial"/>
    </x:font>
    <x:font>
      <x:b/>
      <x:sz val="10"/>
      <x:color rgb="FFFFFFFF"/>
      <x:name val="Arial"/>
    </x:font>
    <x:font>
      <x:sz val="10"/>
      <x:color rgb="FF174EA6"/>
      <x:name val="Arial"/>
    </x:font>
    <x:font>
      <x:sz val="10"/>
      <x:color rgb="FF217346"/>
      <x:name val="Arial"/>
    </x:font>
    <x:font>
      <x:i/>
      <x:sz val="10"/>
      <x:color rgb="FF243746"/>
      <x:name val="Arial"/>
    </x:font>
    <x:font>
      <x:i/>
      <x:sz val="10"/>
      <x:color rgb="FF21734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6" fontId="6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6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 indent="1"/>
    </x:xf>
    <x:xf numFmtId="0" fontId="1" fillId="0" borderId="0" xfId="0" applyNumberFormat="1" applyFont="1" applyFill="1" applyBorder="1" applyAlignment="1">
      <x:alignment horizontal="left" vertical="center" indent="1" wrapText="1"/>
    </x:xf>
    <x:xf numFmtId="0" fontId="4" fillId="2" borderId="0" xfId="0" applyNumberFormat="1" applyFont="1" applyFill="1" applyBorder="1" applyAlignment="1">
      <x:alignment horizontal="left" vertical="center" indent="1"/>
    </x:xf>
    <x:xf numFmtId="0" fontId="4" fillId="2" borderId="0" xfId="0" applyNumberFormat="1" applyFont="1" applyFill="1" applyBorder="1" applyAlignment="1">
      <x:alignment horizontal="left" vertical="center" indent="1" wrapText="1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9E7"/>
        </x:patternFill>
      </x:fill>
    </x:dxf>
    <x:dxf>
      <x:font>
        <x:color rgb="FF8054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5497eb3bb34700" /><Relationship Type="http://schemas.openxmlformats.org/officeDocument/2006/relationships/theme" Target="/xl/theme/theme1.xml" Id="Rfbd871ea54594d7b" /><Relationship Type="http://schemas.openxmlformats.org/officeDocument/2006/relationships/sharedStrings" Target="/xl/sharedStrings.xml" Id="R282977d09a974c6e" /><Relationship Type="http://schemas.openxmlformats.org/officeDocument/2006/relationships/worksheet" Target="/xl/worksheets/sheet1.xml" Id="R2e1cb31cdf7b4f4f" /><Relationship Type="http://schemas.openxmlformats.org/officeDocument/2006/relationships/worksheet" Target="/xl/worksheets/sheet2.xml" Id="Rf1c8f6b873c140fc" /><Relationship Type="http://schemas.openxmlformats.org/officeDocument/2006/relationships/worksheet" Target="/xl/worksheets/sheet3.xml" Id="R5fc4cd97f0f243bb" /><Relationship Type="http://schemas.openxmlformats.org/officeDocument/2006/relationships/worksheet" Target="/xl/worksheets/sheet4.xml" Id="Rda661076531d4c58" /><Relationship Type="http://schemas.openxmlformats.org/officeDocument/2006/relationships/worksheet" Target="/xl/worksheets/sheet5.xml" Id="R0fa39008f1d8403b" /><Relationship Type="http://schemas.openxmlformats.org/officeDocument/2006/relationships/worksheet" Target="/xl/worksheets/sheet6.xml" Id="Rcd6589358a364e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0b9ba9ee464076" /><Relationship Type="http://schemas.openxmlformats.org/officeDocument/2006/relationships/chart" Target="/xl/drawings/charts/chart2.xml" Id="Rd65bdaf953cf4725" /><Relationship Type="http://schemas.openxmlformats.org/officeDocument/2006/relationships/chart" Target="/xl/drawings/charts/chart3.xml" Id="Rcd3858dd5d4b4e6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ROA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Bank of Georgia</c:v>
          </c:tx>
          <c:spPr>
            <a:solidFill xmlns:a="http://schemas.openxmlformats.org/drawingml/2006/main">
              <a:srgbClr val="17324D"/>
            </a:solidFill>
          </c:spPr>
          <c:cat>
            <c:strRef>
              <c:f>'Comparison'!$A$56</c:f>
              <c:strCache>
                <c:ptCount val="0"/>
              </c:strCache>
            </c:strRef>
          </c:cat>
          <c:val>
            <c:numRef>
              <c:f>'Comparison'!$B$56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TBC Bank</c:v>
          </c:tx>
          <c:spPr>
            <a:solidFill xmlns:a="http://schemas.openxmlformats.org/drawingml/2006/main">
              <a:srgbClr val="B87935"/>
            </a:solidFill>
          </c:spPr>
          <c:cat>
            <c:strRef>
              <c:f>'Comparison'!$A$56</c:f>
              <c:strCache>
                <c:ptCount val="0"/>
              </c:strCache>
            </c:strRef>
          </c:cat>
          <c:val>
            <c:numRef>
              <c:f>'Comparison'!$C$56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0.0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Net loans / customer funding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Bank of Georgia</c:v>
          </c:tx>
          <c:spPr>
            <a:solidFill xmlns:a="http://schemas.openxmlformats.org/drawingml/2006/main">
              <a:srgbClr val="17324D"/>
            </a:solidFill>
          </c:spPr>
          <c:cat>
            <c:strRef>
              <c:f>'Comparison'!$A$60</c:f>
              <c:strCache>
                <c:ptCount val="0"/>
              </c:strCache>
            </c:strRef>
          </c:cat>
          <c:val>
            <c:numRef>
              <c:f>'Comparison'!$B$60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TBC Bank</c:v>
          </c:tx>
          <c:spPr>
            <a:solidFill xmlns:a="http://schemas.openxmlformats.org/drawingml/2006/main">
              <a:srgbClr val="B87935"/>
            </a:solidFill>
          </c:spPr>
          <c:cat>
            <c:strRef>
              <c:f>'Comparison'!$A$60</c:f>
              <c:strCache>
                <c:ptCount val="0"/>
              </c:strCache>
            </c:strRef>
          </c:cat>
          <c:val>
            <c:numRef>
              <c:f>'Comparison'!$C$60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.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Total regulatory CAR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Bank of Georgia</c:v>
          </c:tx>
          <c:spPr>
            <a:solidFill xmlns:a="http://schemas.openxmlformats.org/drawingml/2006/main">
              <a:srgbClr val="17324D"/>
            </a:solidFill>
          </c:spPr>
          <c:cat>
            <c:strRef>
              <c:f>'Comparison'!$A$64</c:f>
              <c:strCache>
                <c:ptCount val="0"/>
              </c:strCache>
            </c:strRef>
          </c:cat>
          <c:val>
            <c:numRef>
              <c:f>'Comparison'!$B$64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TBC Bank</c:v>
          </c:tx>
          <c:spPr>
            <a:solidFill xmlns:a="http://schemas.openxmlformats.org/drawingml/2006/main">
              <a:srgbClr val="B87935"/>
            </a:solidFill>
          </c:spPr>
          <c:cat>
            <c:strRef>
              <c:f>'Comparison'!$A$64</c:f>
              <c:strCache>
                <c:ptCount val="0"/>
              </c:strCache>
            </c:strRef>
          </c:cat>
          <c:val>
            <c:numRef>
              <c:f>'Comparison'!$C$64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0.2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3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0b9ba9ee464076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5bdaf953cf4725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3858dd5d4b4e6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Inputs" displayName="RawInputs" ref="A4:I27" headerRowCount="1" totalsRowCount="0" totalsRowShown="0">
  <x:tableColumns count="9">
    <x:tableColumn id="1" name="Key"/>
    <x:tableColumn id="2" name="Source item"/>
    <x:tableColumn id="3" name="Unit"/>
    <x:tableColumn id="4" name="BOG 2024"/>
    <x:tableColumn id="5" name="BOG 2025"/>
    <x:tableColumn id="6" name="TBC 2024"/>
    <x:tableColumn id="7" name="TBC 2025"/>
    <x:tableColumn id="8" name="Source / printed pages"/>
    <x:tableColumn id="9" name="Boundary / transform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caaa4d2200349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029afba6742343c1" /></Relationships>
</file>

<file path=xl/worksheets/sheet1.xml><?xml version="1.0" encoding="utf-8"?>
<x:worksheet xmlns:x="http://schemas.openxmlformats.org/spreadsheetml/2006/main">
  <x:sheetPr>
    <x:tabColor rgb="FF708090"/>
    <x:pageSetUpPr fitToPage="1"/>
  </x:sheetPr>
  <x:sheetViews>
    <x:sheetView showGridLines="0" workbookViewId="0"/>
  </x:sheetViews>
  <x:sheetFormatPr defaultRowHeight="15"/>
  <x:cols>
    <x:col min="1" max="1" width="25" hidden="0" customWidth="1"/>
    <x:col min="2" max="2" width="1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9" customHeight="1">
      <x:c r="A2" s="3" t="str">
        <x:v>Comparative financial review</x:v>
      </x:c>
      <x:c r="B2" s="3"/>
      <x:c r="C2" s="3"/>
      <x:c r="D2" s="3"/>
      <x:c r="E2" s="3"/>
      <x:c r="F2" s="3"/>
      <x:c r="G2" s="2"/>
      <x:c r="H2" s="2"/>
      <x:c r="I2" s="2"/>
      <x:c r="J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61" customHeight="1">
      <x:c r="A5" s="4" t="str">
        <x:v>Purpose</x:v>
      </x:c>
      <x:c r="B5" s="5" t="str">
        <x:v>Independent educational portfolio work sample for Dana Rabandiyar. Preliminary public-information review; no credit rating, investment advice or investability conclusion.</x:v>
      </x:c>
      <x:c r="C5" s="2"/>
      <x:c r="D5" s="2"/>
      <x:c r="E5" s="2"/>
      <x:c r="F5" s="2"/>
      <x:c r="G5" s="2"/>
      <x:c r="H5" s="2"/>
      <x:c r="I5" s="2"/>
      <x:c r="J5" s="2"/>
    </x:row>
    <x:row r="6" ht="61" customHeight="1">
      <x:c r="A6" s="4" t="str">
        <x:v>Institutions</x:v>
      </x:c>
      <x:c r="B6" s="5" t="str">
        <x:v>JSC Bank of Georgia and JSC TBC Bank, Georgia. Universal banks serving retail and business customers. No claim of any investment, lending or other relationship with either bank.</x:v>
      </x:c>
      <x:c r="C6" s="2"/>
      <x:c r="D6" s="2"/>
      <x:c r="E6" s="2"/>
      <x:c r="F6" s="2"/>
      <x:c r="G6" s="2"/>
      <x:c r="H6" s="2"/>
      <x:c r="I6" s="2"/>
      <x:c r="J6" s="2"/>
    </x:row>
    <x:row r="7" ht="61" customHeight="1">
      <x:c r="A7" s="4" t="str">
        <x:v>Period and units</x:v>
      </x:c>
      <x:c r="B7" s="5" t="str">
        <x:v>Year ended 31 December 2025, latest common audited full year located on 15 October 2026. 31 December 2024 balances support opening/closing averages. Financial inputs in GEL thousands; ratios stored as decimals.</x:v>
      </x:c>
      <x:c r="C7" s="2"/>
      <x:c r="D7" s="2"/>
      <x:c r="E7" s="2"/>
      <x:c r="F7" s="2"/>
      <x:c r="G7" s="2"/>
      <x:c r="H7" s="2"/>
      <x:c r="I7" s="2"/>
      <x:c r="J7" s="2"/>
    </x:row>
    <x:row r="8" ht="61" customHeight="1">
      <x:c r="A8" s="4" t="str">
        <x:v>Scope</x:v>
      </x:c>
      <x:c r="B8" s="5" t="str">
        <x:v>Use separate-bank IFRS statements, excluding consolidation of subsidiaries and overseas parent groups. Capital ratios instead use bank-only NBG Basel III regulatory figures.</x:v>
      </x:c>
      <x:c r="C8" s="2"/>
      <x:c r="D8" s="2"/>
      <x:c r="E8" s="2"/>
      <x:c r="F8" s="2"/>
      <x:c r="G8" s="2"/>
      <x:c r="H8" s="2"/>
      <x:c r="I8" s="2"/>
      <x:c r="J8" s="2"/>
    </x:row>
    <x:row r="9" ht="61" customHeight="1">
      <x:c r="A9" s="4" t="str">
        <x:v>Selection</x:v>
      </x:c>
      <x:c r="B9" s="5" t="str">
        <x:v>Both banks provide audited separate statements in GEL and NBG capital disclosures. Their retail/corporate/SME activities make them reasonable peers, although portfolio mix and funding structure differ.</x:v>
      </x:c>
      <x:c r="C9" s="2"/>
      <x:c r="D9" s="2"/>
      <x:c r="E9" s="2"/>
      <x:c r="F9" s="2"/>
      <x:c r="G9" s="2"/>
      <x:c r="H9" s="2"/>
      <x:c r="I9" s="2"/>
      <x:c r="J9" s="2"/>
    </x:row>
    <x:row r="10" ht="61" customHeight="1">
      <x:c r="A10" s="4" t="str">
        <x:v>Six metrics</x:v>
      </x:c>
      <x:c r="B10" s="5" t="str">
        <x:v>ROA, ROE, net customer loan growth, net customer loans/customer funding, cost/income, total regulatory CAR. Capital headroom is an additional diagnostic.</x:v>
      </x:c>
      <x:c r="C10" s="2"/>
      <x:c r="D10" s="2"/>
      <x:c r="E10" s="2"/>
      <x:c r="F10" s="2"/>
      <x:c r="G10" s="2"/>
      <x:c r="H10" s="2"/>
      <x:c r="I10" s="2"/>
      <x:c r="J10" s="2"/>
    </x:row>
    <x:row r="11" ht="61" customHeight="1">
      <x:c r="A11" s="4" t="str">
        <x:v>Averages</x:v>
      </x:c>
      <x:c r="B11" s="5" t="str">
        <x:v>2025 ROA and ROE use a simple average of 2024 and 2025 year-end balances. Monthly averages are unavailable here. 2024 ROA/ROE and loan growth are N/A: no common opening 2023 dataset was extracted.</x:v>
      </x:c>
      <x:c r="C11" s="2"/>
      <x:c r="D11" s="2"/>
      <x:c r="E11" s="2"/>
      <x:c r="F11" s="2"/>
      <x:c r="G11" s="2"/>
      <x:c r="H11" s="2"/>
      <x:c r="I11" s="2"/>
      <x:c r="J11" s="2"/>
    </x:row>
    <x:row r="12" ht="61" customHeight="1">
      <x:c r="A12" s="4" t="str">
        <x:v>Funding caveat</x:v>
      </x:c>
      <x:c r="B12" s="5" t="str">
        <x:v>BOG denominator is client deposits AND notes; TBC denominator is customer accounts. Ratio is an indicative funding measure, not a fully harmonized loan-to-deposit or regulatory liquidity ratio.</x:v>
      </x:c>
      <x:c r="C12" s="2"/>
      <x:c r="D12" s="2"/>
      <x:c r="E12" s="2"/>
      <x:c r="F12" s="2"/>
      <x:c r="G12" s="2"/>
      <x:c r="H12" s="2"/>
      <x:c r="I12" s="2"/>
      <x:c r="J12" s="2"/>
    </x:row>
    <x:row r="13" ht="61" customHeight="1">
      <x:c r="A13" s="4" t="str">
        <x:v>Loan boundary</x:v>
      </x:c>
      <x:c r="B13" s="5" t="str">
        <x:v>Use BOG net customer loans excluding factoring and finance leases, rather than its broader balance-sheet lending line. TBC uses net customer loans from its separate-bank balance sheet.</x:v>
      </x:c>
      <x:c r="C13" s="2"/>
      <x:c r="D13" s="2"/>
      <x:c r="E13" s="2"/>
      <x:c r="F13" s="2"/>
      <x:c r="G13" s="2"/>
      <x:c r="H13" s="2"/>
      <x:c r="I13" s="2"/>
      <x:c r="J13" s="2"/>
    </x:row>
    <x:row r="14" ht="61" customHeight="1">
      <x:c r="A14" s="4" t="str">
        <x:v>Cost/income</x:v>
      </x:c>
      <x:c r="B14" s="5" t="str">
        <x:v>Use source operating expenses (positive magnitude) / pre-impairment operating income. TBC income sums net interest, fees and other non-interest income. Accounting presentation and mix can distort comparisons.</x:v>
      </x:c>
      <x:c r="C14" s="2"/>
      <x:c r="D14" s="2"/>
      <x:c r="E14" s="2"/>
      <x:c r="F14" s="2"/>
      <x:c r="G14" s="2"/>
      <x:c r="H14" s="2"/>
      <x:c r="I14" s="2"/>
      <x:c r="J14" s="2"/>
    </x:row>
    <x:row r="15" ht="61" customHeight="1">
      <x:c r="A15" s="4" t="str">
        <x:v>Asset quality</x:v>
      </x:c>
      <x:c r="B15" s="5" t="str">
        <x:v>Supplemental figures have unequal verified scopes. BOG Stage 3 excludes POCI and is NOT a regulatory NPL ratio. TBC loan note does not reconcile to the separate bank in 2024. No cross-bank asset-quality ranking is made.</x:v>
      </x:c>
      <x:c r="C15" s="2"/>
      <x:c r="D15" s="2"/>
      <x:c r="E15" s="2"/>
      <x:c r="F15" s="2"/>
      <x:c r="G15" s="2"/>
      <x:c r="H15" s="2"/>
      <x:c r="I15" s="2"/>
      <x:c r="J15" s="2"/>
    </x:row>
    <x:row r="16" ht="61" customHeight="1">
      <x:c r="A16" s="4" t="str">
        <x:v>How to use</x:v>
      </x:c>
      <x:c r="B16" s="5" t="str">
        <x:v>Read Comparison, then trace formulas in Ratio_Calculations to blue inputs in Raw_Data and source IDs. Green working cells link across sheets; black calculations use the same sheet. N/A is deliberate missing information.</x:v>
      </x:c>
      <x:c r="C16" s="2"/>
      <x:c r="D16" s="2"/>
      <x:c r="E16" s="2"/>
      <x:c r="F16" s="2"/>
      <x:c r="G16" s="2"/>
      <x:c r="H16" s="2"/>
      <x:c r="I16" s="2"/>
      <x:c r="J16" s="2"/>
    </x:row>
    <x:row r="17" ht="61" customHeight="1">
      <x:c r="A17" s="4" t="str">
        <x:v>Checks</x:v>
      </x:c>
      <x:c r="B17" s="5" t="str">
        <x:v>Validation_Checks is a terminal audit sheet and does not feed the analysis. PASS checks are formula driven. REVIEW identifies scope or definition differences requiring explanation.</x:v>
      </x:c>
      <x:c r="C17" s="2"/>
      <x:c r="D17" s="2"/>
      <x:c r="E17" s="2"/>
      <x:c r="F17" s="2"/>
      <x:c r="G17" s="2"/>
      <x:c r="H17" s="2"/>
      <x:c r="I17" s="2"/>
      <x:c r="J17" s="2"/>
    </x:row>
    <x:row r="18" ht="61" customHeight="1">
      <x:c r="A18" s="4" t="str">
        <x:v>Recalculation</x:v>
      </x:c>
      <x:c r="B18" s="5" t="str">
        <x:v>All ratios are live formulas, and the workbook is set to recalculate fully when opened in Excel (Ctrl+Alt+F9 forces a refresh). To test it, change any blue input in Raw_Data and confirm that Ratio_Calculations, Comparison and the three charts update. Cached values were generated outside Excel.</x:v>
      </x:c>
      <x:c r="C18" s="2"/>
      <x:c r="D18" s="2"/>
      <x:c r="E18" s="2"/>
      <x:c r="F18" s="2"/>
      <x:c r="G18" s="2"/>
      <x:c r="H18" s="2"/>
      <x:c r="I18" s="2"/>
      <x:c r="J18" s="2"/>
    </x:row>
    <x:row r="19" ht="61" customHeight="1">
      <x:c r="A19" s="4" t="str">
        <x:v>Country context</x:v>
      </x:c>
      <x:c r="B19" s="5" t="str">
        <x:v>IMF July 2025 Article IV discussion flags dollarization, rapid consumer credit, lari funding and external/political uncertainty. Historical context only; refresh before a live investment discussion.</x:v>
      </x:c>
      <x:c r="C19" s="2"/>
      <x:c r="D19" s="2"/>
      <x:c r="E19" s="2"/>
      <x:c r="F19" s="2"/>
      <x:c r="G19" s="2"/>
      <x:c r="H19" s="2"/>
      <x:c r="I19" s="2"/>
      <x:c r="J19" s="2"/>
    </x:row>
    <x:row r="20" ht="61" customHeight="1">
      <x:c r="A20" s="4" t="str">
        <x:v>Authorship</x:v>
      </x:c>
      <x:c r="B20" s="5" t="str">
        <x:v>Prepared with AI assistance for research, transcription, coding, checks, drafting and interpretation. Input figures are transcribed from the filings listed in Source_Register; a page-by-page tie-out to those filings is not recorded in this file. No advanced Excel proficiency is claimed.</x:v>
      </x:c>
      <x:c r="C20" s="2"/>
      <x:c r="D20" s="2"/>
      <x:c r="E20" s="2"/>
      <x:c r="F20" s="2"/>
      <x:c r="G20" s="2"/>
      <x:c r="H20" s="2"/>
      <x:c r="I20" s="2"/>
      <x:c r="J20" s="2"/>
    </x:row>
    <x:row r="21" ht="61" customHeight="1">
      <x:c r="A21" s="4" t="str">
        <x:v>Limits</x:v>
      </x:c>
      <x:c r="B21" s="5" t="str">
        <x:v>No forecasts, valuation, full credit underwriting, management interviews, current 2026 risk update or transaction analysis. Public historical data cannot establish creditworthiness or social impact.</x:v>
      </x:c>
      <x:c r="C21" s="2"/>
      <x:c r="D21" s="2"/>
      <x:c r="E21" s="2"/>
      <x:c r="F21" s="2"/>
      <x:c r="G21" s="2"/>
      <x:c r="H21" s="2"/>
      <x:c r="I21" s="2"/>
      <x:c r="J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2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 ht="2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 ht="2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 ht="2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 ht="2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 ht="2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 ht="2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 ht="2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 ht="2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 ht="2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 ht="2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 ht="2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 ht="2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 ht="2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 ht="2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 ht="2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 ht="2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 ht="2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 ht="2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 ht="2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 ht="2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 ht="2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 ht="2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 ht="2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 ht="2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 ht="2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 ht="2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 ht="2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 ht="2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 ht="2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 ht="2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 ht="2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  <x:row r="86" ht="2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</x:row>
    <x:row r="87" ht="2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</x:row>
    <x:row r="88" ht="2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</x:row>
    <x:row r="89" ht="2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</x:row>
    <x:row r="90" ht="2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</x:row>
  </x:sheetData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48" hidden="0" customWidth="1"/>
    <x:col min="4" max="4" width="24" hidden="0" customWidth="1"/>
    <x:col min="5" max="5" width="66" hidden="0" customWidth="1"/>
    <x:col min="6" max="6" width="48" hidden="0" customWidth="1"/>
    <x:col min="7" max="7" width="16" hidden="0" customWidth="1"/>
    <x:col min="8" max="8" width="68" hidden="0" customWidth="1"/>
    <x:col min="9" max="9" width="18" hidden="0" customWidth="1"/>
    <x:col min="10" max="10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9" customHeight="1">
      <x:c r="A2" s="3" t="str">
        <x:v>Source register</x:v>
      </x:c>
      <x:c r="B2" s="3"/>
      <x:c r="C2" s="3"/>
      <x:c r="D2" s="3"/>
      <x:c r="E2" s="3"/>
      <x:c r="F2" s="3"/>
      <x:c r="G2" s="3"/>
      <x:c r="H2" s="3"/>
      <x:c r="I2" s="2"/>
      <x:c r="J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0" customHeight="1">
      <x:c r="A4" s="8" t="str">
        <x:v>ID</x:v>
      </x:c>
      <x:c r="B4" s="8" t="str">
        <x:v>Institution</x:v>
      </x:c>
      <x:c r="C4" s="8" t="str">
        <x:v>Document title</x:v>
      </x:c>
      <x:c r="D4" s="8" t="str">
        <x:v>Reporting period</x:v>
      </x:c>
      <x:c r="E4" s="8" t="str">
        <x:v>URL</x:v>
      </x:c>
      <x:c r="F4" s="8" t="str">
        <x:v>Page / table</x:v>
      </x:c>
      <x:c r="G4" s="8" t="str">
        <x:v>Access date</x:v>
      </x:c>
      <x:c r="H4" s="8" t="str">
        <x:v>Notes</x:v>
      </x:c>
      <x:c r="I4" s="2"/>
      <x:c r="J4" s="2"/>
    </x:row>
    <x:row r="5" ht="105" customHeight="1">
      <x:c r="A5" s="5" t="str">
        <x:v>B1</x:v>
      </x:c>
      <x:c r="B5" s="5" t="str">
        <x:v>JSC Bank of Georgia</x:v>
      </x:c>
      <x:c r="C5" s="5" t="str">
        <x:v>Separate Financial Statements, 31 December 2025, with independent auditor report</x:v>
      </x:c>
      <x:c r="D5" s="5" t="str">
        <x:v>2025; 2024 comparatives</x:v>
      </x:c>
      <x:c r="E5" s="5" t="str">
        <x:v>https://ramad.bog.ge/s3/cms/static/files/aff2e877-8a59-4d59-ae44-43a637b2bfa7.pdf</x:v>
      </x:c>
      <x:c r="F5" s="5" t="str">
        <x:v>Printed pp. 5-6, 36-37, 69, 108 (PDF pp. 9-10, 40-41, 73, 112)</x:v>
      </x:c>
      <x:c r="G5" s="5" t="str">
        <x:v>2026-10-15</x:v>
      </x:c>
      <x:c r="H5" s="5" t="str">
        <x:v>Separate bank IFRS statements. EY opinion dated 8 April 2026. Capital note uses NBG Basel III bank scope.</x:v>
      </x:c>
      <x:c r="I5" s="2"/>
      <x:c r="J5" s="2"/>
    </x:row>
    <x:row r="6" ht="105" customHeight="1">
      <x:c r="A6" s="5" t="str">
        <x:v>T1</x:v>
      </x:c>
      <x:c r="B6" s="5" t="str">
        <x:v>JSC TBC Bank</x:v>
      </x:c>
      <x:c r="C6" s="5" t="str">
        <x:v>Management Report and Financial Statements 2025</x:v>
      </x:c>
      <x:c r="D6" s="5" t="str">
        <x:v>2025; 2024 comparatives</x:v>
      </x:c>
      <x:c r="E6" s="5" t="str">
        <x:v>https://nbg.gov.ge/fm/%E1%83%90%E1%83%9C%E1%83%92%E1%83%90%E1%83%A0%E1%83%98%E1%83%A8%E1%83%92%E1%83%94%E1%83%91%E1%83%94%E1%83%91%E1%83%98/english/tbc/afs-eng-2025-tbc.pdf?v=b2lwg</x:v>
      </x:c>
      <x:c r="F6" s="5" t="str">
        <x:v>Printed pp. 53, 78, 170-171, 193-195, 292-293; PDF contains two printed pages per spread</x:v>
      </x:c>
      <x:c r="G6" s="5" t="str">
        <x:v>2026-10-15</x:v>
      </x:c>
      <x:c r="H6" s="5" t="str">
        <x:v>Use separate bank statements on pp. 170-171. Regulatory bank ratios p.78. Group loan note is supplemental only. Approved 7 April 2026.</x:v>
      </x:c>
      <x:c r="I6" s="2"/>
      <x:c r="J6" s="2"/>
    </x:row>
    <x:row r="7" ht="105" customHeight="1">
      <x:c r="A7" s="5" t="str">
        <x:v>R1</x:v>
      </x:c>
      <x:c r="B7" s="5" t="str">
        <x:v>National Bank of Georgia</x:v>
      </x:c>
      <x:c r="C7" s="5" t="str">
        <x:v>Annual Financial Report directory</x:v>
      </x:c>
      <x:c r="D7" s="5" t="str">
        <x:v>2025 listing</x:v>
      </x:c>
      <x:c r="E7" s="5" t="str">
        <x:v>https://nbg.gov.ge/en/supervision/banking-supervision?pageKey=annualFinancialReport</x:v>
      </x:c>
      <x:c r="F7" s="5" t="str">
        <x:v>Commercial banks; 2025 column</x:v>
      </x:c>
      <x:c r="G7" s="5" t="str">
        <x:v>2026-10-15</x:v>
      </x:c>
      <x:c r="H7" s="5" t="str">
        <x:v>Latest common audited full year available at research date. 2026 is incomplete.</x:v>
      </x:c>
      <x:c r="I7" s="2"/>
      <x:c r="J7" s="2"/>
    </x:row>
    <x:row r="8" ht="105" customHeight="1">
      <x:c r="A8" s="5" t="str">
        <x:v>R2</x:v>
      </x:c>
      <x:c r="B8" s="5" t="str">
        <x:v>National Bank of Georgia</x:v>
      </x:c>
      <x:c r="C8" s="5" t="str">
        <x:v>Pillar 3 Annual disclosure directory</x:v>
      </x:c>
      <x:c r="D8" s="5" t="str">
        <x:v>2025 listing</x:v>
      </x:c>
      <x:c r="E8" s="5" t="str">
        <x:v>https://nbg.gov.ge/en/supervision/banking-supervision?pageKey=pilar3Annual</x:v>
      </x:c>
      <x:c r="F8" s="5" t="str">
        <x:v>Introduction and commercial bank listings</x:v>
      </x:c>
      <x:c r="G8" s="5" t="str">
        <x:v>2026-10-15</x:v>
      </x:c>
      <x:c r="H8" s="5" t="str">
        <x:v>Confirms regulatory disclosure channel. Ratios in this project use B1/T1 bank regulatory tables, not unextracted Pillar 3 files.</x:v>
      </x:c>
      <x:c r="I8" s="2"/>
      <x:c r="J8" s="2"/>
    </x:row>
    <x:row r="9" ht="105" customHeight="1">
      <x:c r="A9" s="5" t="str">
        <x:v>C1</x:v>
      </x:c>
      <x:c r="B9" s="5" t="str">
        <x:v>IMF</x:v>
      </x:c>
      <x:c r="C9" s="5" t="str">
        <x:v>Executive Board Concludes 2025 Article IV Consultation with Georgia</x:v>
      </x:c>
      <x:c r="D9" s="5" t="str">
        <x:v>Published 22 July 2025</x:v>
      </x:c>
      <x:c r="E9" s="5" t="str">
        <x:v>https://www.imf.org/en/news/articles/2025/07/22/pr-25259-georgia-imf-executive-board-concludes-2025-article-iv-consultation</x:v>
      </x:c>
      <x:c r="F9" s="5" t="str">
        <x:v>Risks and financial sector policy discussion</x:v>
      </x:c>
      <x:c r="G9" s="5" t="str">
        <x:v>2026-10-15</x:v>
      </x:c>
      <x:c r="H9" s="5" t="str">
        <x:v>Historical country context: dollarization, consumer credit, lari funding, political and external uncertainty. No projections used as actuals. Not a current 2026 country assessment.</x:v>
      </x:c>
      <x:c r="I9" s="2"/>
      <x:c r="J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2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 ht="2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 ht="2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 ht="2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 ht="2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 ht="2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 ht="2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 ht="2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 ht="2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 ht="2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 ht="2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 ht="2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 ht="2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 ht="2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 ht="2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 ht="2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 ht="2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 ht="2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 ht="2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 ht="2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 ht="2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 ht="2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 ht="2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 ht="2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 ht="2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 ht="2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 ht="2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 ht="2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 ht="2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 ht="2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 ht="2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 ht="2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  <x:row r="86" ht="2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</x:row>
    <x:row r="87" ht="2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</x:row>
    <x:row r="88" ht="2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</x:row>
    <x:row r="89" ht="2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</x:row>
    <x:row r="90" ht="2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</x:row>
  </x:sheetData>
  <x:pageMargins left="0.7" right="0.7" top="0.75" bottom="0.75" header="0.3" footer="0.3"/>
  <x:pageSetup paperSize="9" orientation="landscape" fitToWidth="1" fitToHeight="0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3" hidden="0" customWidth="1"/>
    <x:col min="2" max="2" width="47" hidden="0" customWidth="1"/>
    <x:col min="3" max="3" width="20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4" hidden="0" customWidth="1"/>
    <x:col min="9" max="9" width="80" hidden="0" customWidth="1"/>
    <x:col min="10" max="10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9" customHeight="1">
      <x:c r="A2" s="3" t="str">
        <x:v>Traceable source inputs</x:v>
      </x:c>
      <x:c r="B2" s="3"/>
      <x:c r="C2" s="3"/>
      <x:c r="D2" s="3"/>
      <x:c r="E2" s="3"/>
      <x:c r="F2" s="3"/>
      <x:c r="G2" s="3"/>
      <x:c r="H2" s="3"/>
      <x:c r="I2" s="3"/>
      <x:c r="J2" s="2"/>
    </x:row>
    <x:row r="3" ht="25" customHeight="1">
      <x:c r="A3" s="2" t="str">
        <x:v>Inputs in blue. Blank/unused numeric inputs display N/A. Monetary values are GEL thousands.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0" customHeight="1">
      <x:c r="A4" s="8" t="str">
        <x:v>Key</x:v>
      </x:c>
      <x:c r="B4" s="8" t="str">
        <x:v>Source item</x:v>
      </x:c>
      <x:c r="C4" s="8" t="str">
        <x:v>Unit</x:v>
      </x:c>
      <x:c r="D4" s="8" t="str">
        <x:v>BOG 2024</x:v>
      </x:c>
      <x:c r="E4" s="8" t="str">
        <x:v>BOG 2025</x:v>
      </x:c>
      <x:c r="F4" s="8" t="str">
        <x:v>TBC 2024</x:v>
      </x:c>
      <x:c r="G4" s="8" t="str">
        <x:v>TBC 2025</x:v>
      </x:c>
      <x:c r="H4" s="31" t="str">
        <x:v>Source / printed pages</x:v>
      </x:c>
      <x:c r="I4" s="8" t="str">
        <x:v>Boundary / transformation</x:v>
      </x:c>
      <x:c r="J4" s="2"/>
    </x:row>
    <x:row r="5" ht="47" customHeight="1">
      <x:c r="A5" s="2" t="str">
        <x:v>assets</x:v>
      </x:c>
      <x:c r="B5" s="5" t="str">
        <x:v>Total assets</x:v>
      </x:c>
      <x:c r="C5" s="5" t="str">
        <x:v>GEL thousands</x:v>
      </x:c>
      <x:c r="D5" s="10" t="n">
        <x:v>37605276</x:v>
      </x:c>
      <x:c r="E5" s="10" t="n">
        <x:v>42419125</x:v>
      </x:c>
      <x:c r="F5" s="10" t="n">
        <x:v>37023011</x:v>
      </x:c>
      <x:c r="G5" s="10" t="n">
        <x:v>39165008</x:v>
      </x:c>
      <x:c r="H5" s="29" t="str">
        <x:v>B1 p.5; T1 p.170</x:v>
      </x:c>
      <x:c r="I5" s="5" t="str">
        <x:v>Separate bank</x:v>
      </x:c>
      <x:c r="J5" s="2"/>
    </x:row>
    <x:row r="6" ht="47" customHeight="1">
      <x:c r="A6" s="2" t="str">
        <x:v>liabilities</x:v>
      </x:c>
      <x:c r="B6" s="5" t="str">
        <x:v>Total liabilities</x:v>
      </x:c>
      <x:c r="C6" s="5" t="str">
        <x:v>GEL thousands</x:v>
      </x:c>
      <x:c r="D6" s="10" t="n">
        <x:v>32365173</x:v>
      </x:c>
      <x:c r="E6" s="10" t="n">
        <x:v>36529769</x:v>
      </x:c>
      <x:c r="F6" s="10" t="n">
        <x:v>31752942</x:v>
      </x:c>
      <x:c r="G6" s="10" t="n">
        <x:v>33492924</x:v>
      </x:c>
      <x:c r="H6" s="29" t="str">
        <x:v>B1 p.5; T1 p.170</x:v>
      </x:c>
      <x:c r="I6" s="5" t="str">
        <x:v>Separate bank</x:v>
      </x:c>
      <x:c r="J6" s="2"/>
    </x:row>
    <x:row r="7" ht="47" customHeight="1">
      <x:c r="A7" s="2" t="str">
        <x:v>equity</x:v>
      </x:c>
      <x:c r="B7" s="5" t="str">
        <x:v>Total equity</x:v>
      </x:c>
      <x:c r="C7" s="5" t="str">
        <x:v>GEL thousands</x:v>
      </x:c>
      <x:c r="D7" s="10" t="n">
        <x:v>5240103</x:v>
      </x:c>
      <x:c r="E7" s="10" t="n">
        <x:v>5889356</x:v>
      </x:c>
      <x:c r="F7" s="10" t="n">
        <x:v>5270069</x:v>
      </x:c>
      <x:c r="G7" s="10" t="n">
        <x:v>5672084</x:v>
      </x:c>
      <x:c r="H7" s="29" t="str">
        <x:v>B1 p.5; T1 p.170</x:v>
      </x:c>
      <x:c r="I7" s="5" t="str">
        <x:v>IFRS equity; distinct from regulatory capital</x:v>
      </x:c>
      <x:c r="J7" s="2"/>
    </x:row>
    <x:row r="8" ht="47" customHeight="1">
      <x:c r="A8" s="2" t="str">
        <x:v>profit</x:v>
      </x:c>
      <x:c r="B8" s="5" t="str">
        <x:v>Profit for the year</x:v>
      </x:c>
      <x:c r="C8" s="5" t="str">
        <x:v>GEL thousands</x:v>
      </x:c>
      <x:c r="D8" s="10" t="n">
        <x:v>1503294</x:v>
      </x:c>
      <x:c r="E8" s="10" t="n">
        <x:v>1631115</x:v>
      </x:c>
      <x:c r="F8" s="10" t="n">
        <x:v>1206388</x:v>
      </x:c>
      <x:c r="G8" s="10" t="n">
        <x:v>1277584</x:v>
      </x:c>
      <x:c r="H8" s="29" t="str">
        <x:v>B1 p.6; T1 p.171</x:v>
      </x:c>
      <x:c r="I8" s="5" t="str">
        <x:v>Full-year profit after tax, separate bank</x:v>
      </x:c>
      <x:c r="J8" s="2"/>
    </x:row>
    <x:row r="9" ht="47" customHeight="1">
      <x:c r="A9" s="2" t="str">
        <x:v>net_loans</x:v>
      </x:c>
      <x:c r="B9" s="5" t="str">
        <x:v>Net customer loans only</x:v>
      </x:c>
      <x:c r="C9" s="5" t="str">
        <x:v>GEL thousands</x:v>
      </x:c>
      <x:c r="D9" s="10" t="n">
        <x:v>23487970</x:v>
      </x:c>
      <x:c r="E9" s="10" t="n">
        <x:v>27162279</x:v>
      </x:c>
      <x:c r="F9" s="10" t="n">
        <x:v>24188589</x:v>
      </x:c>
      <x:c r="G9" s="10" t="n">
        <x:v>26618040</x:v>
      </x:c>
      <x:c r="H9" s="29" t="str">
        <x:v>B1 p.36; T1 p.170</x:v>
      </x:c>
      <x:c r="I9" s="5" t="str">
        <x:v>BOG excludes factoring and finance leases. TBC uses separate balance sheet, not group loan note.</x:v>
      </x:c>
      <x:c r="J9" s="2"/>
    </x:row>
    <x:row r="10" ht="47" customHeight="1">
      <x:c r="A10" s="2" t="str">
        <x:v>funding</x:v>
      </x:c>
      <x:c r="B10" s="5" t="str">
        <x:v>Customer funding</x:v>
      </x:c>
      <x:c r="C10" s="5" t="str">
        <x:v>GEL thousands</x:v>
      </x:c>
      <x:c r="D10" s="10" t="n">
        <x:v>24126995</x:v>
      </x:c>
      <x:c r="E10" s="10" t="n">
        <x:v>27429022</x:v>
      </x:c>
      <x:c r="F10" s="10" t="n">
        <x:v>22140849</x:v>
      </x:c>
      <x:c r="G10" s="10" t="n">
        <x:v>24557129</x:v>
      </x:c>
      <x:c r="H10" s="29" t="str">
        <x:v>B1 pp.5,69; T1 p.170</x:v>
      </x:c>
      <x:c r="I10" s="5" t="str">
        <x:v>BOG client deposits AND notes; TBC customer accounts. Approximate funding comparison, not strict deposit parity.</x:v>
      </x:c>
      <x:c r="J10" s="2"/>
    </x:row>
    <x:row r="11" ht="47" customHeight="1">
      <x:c r="A11" s="2" t="str">
        <x:v>opex</x:v>
      </x:c>
      <x:c r="B11" s="5" t="str">
        <x:v>Operating expenses (source sign)</x:v>
      </x:c>
      <x:c r="C11" s="5" t="str">
        <x:v>GEL thousands</x:v>
      </x:c>
      <x:c r="D11" s="10" t="n">
        <x:v>-725132</x:v>
      </x:c>
      <x:c r="E11" s="10" t="n">
        <x:v>-878180</x:v>
      </x:c>
      <x:c r="F11" s="10" t="n">
        <x:v>-687812</x:v>
      </x:c>
      <x:c r="G11" s="10" t="n">
        <x:v>-774294</x:v>
      </x:c>
      <x:c r="H11" s="29" t="str">
        <x:v>B1 p.6; T1 p.171</x:v>
      </x:c>
      <x:c r="I11" s="5" t="str">
        <x:v>Negative source expenses; includes depreciation. Pre-impairment cost ratio uses ABS.</x:v>
      </x:c>
      <x:c r="J11" s="2"/>
    </x:row>
    <x:row r="12" ht="47" customHeight="1">
      <x:c r="A12" s="2" t="str">
        <x:v>income</x:v>
      </x:c>
      <x:c r="B12" s="5" t="str">
        <x:v>BOG operating income; TBC NII</x:v>
      </x:c>
      <x:c r="C12" s="5" t="str">
        <x:v>GEL thousands</x:v>
      </x:c>
      <x:c r="D12" s="10" t="n">
        <x:v>2601219</x:v>
      </x:c>
      <x:c r="E12" s="10" t="n">
        <x:v>2929984</x:v>
      </x:c>
      <x:c r="F12" s="10" t="n">
        <x:v>1522902</x:v>
      </x:c>
      <x:c r="G12" s="10" t="n">
        <x:v>1725990</x:v>
      </x:c>
      <x:c r="H12" s="29" t="str">
        <x:v>B1 p.6; T1 p.171</x:v>
      </x:c>
      <x:c r="I12" s="5" t="str">
        <x:v>BOG total revenue already includes net fees/other income. TBC is net interest income only; add next two rows.</x:v>
      </x:c>
      <x:c r="J12" s="2"/>
    </x:row>
    <x:row r="13" ht="47" customHeight="1">
      <x:c r="A13" s="2" t="str">
        <x:v>fees</x:v>
      </x:c>
      <x:c r="B13" s="5" t="str">
        <x:v>TBC net fee income (BOG N/A)</x:v>
      </x:c>
      <x:c r="C13" s="5" t="str">
        <x:v>GEL thousands</x:v>
      </x:c>
      <x:c r="D13" s="10" t="str">
        <x:v>N/A</x:v>
      </x:c>
      <x:c r="E13" s="10" t="str">
        <x:v>N/A</x:v>
      </x:c>
      <x:c r="F13" s="10" t="n">
        <x:v>307047</x:v>
      </x:c>
      <x:c r="G13" s="10" t="n">
        <x:v>343909</x:v>
      </x:c>
      <x:c r="H13" s="29" t="str">
        <x:v>T1 p.171</x:v>
      </x:c>
      <x:c r="I13" s="5" t="str">
        <x:v>BOG N/A prevents double counting its total operating income.</x:v>
      </x:c>
      <x:c r="J13" s="2"/>
    </x:row>
    <x:row r="14" ht="47" customHeight="1">
      <x:c r="A14" s="2" t="str">
        <x:v>other</x:v>
      </x:c>
      <x:c r="B14" s="5" t="str">
        <x:v>TBC other non-interest income (BOG N/A)</x:v>
      </x:c>
      <x:c r="C14" s="5" t="str">
        <x:v>GEL thousands</x:v>
      </x:c>
      <x:c r="D14" s="10" t="str">
        <x:v>N/A</x:v>
      </x:c>
      <x:c r="E14" s="10" t="str">
        <x:v>N/A</x:v>
      </x:c>
      <x:c r="F14" s="10" t="n">
        <x:v>399148</x:v>
      </x:c>
      <x:c r="G14" s="10" t="n">
        <x:v>394058</x:v>
      </x:c>
      <x:c r="H14" s="29" t="str">
        <x:v>T1 p.171</x:v>
      </x:c>
      <x:c r="I14" s="5" t="str">
        <x:v>Includes share of associates profit: 847 in 2024 and 551 in 2025.</x:v>
      </x:c>
      <x:c r="J14" s="2"/>
    </x:row>
    <x:row r="15" ht="47" customHeight="1">
      <x:c r="A15" s="2" t="str">
        <x:v>capital</x:v>
      </x:c>
      <x:c r="B15" s="5" t="str">
        <x:v>Total regulatory capital</x:v>
      </x:c>
      <x:c r="C15" s="5" t="str">
        <x:v>GEL thousands</x:v>
      </x:c>
      <x:c r="D15" s="10" t="n">
        <x:v>6419833</x:v>
      </x:c>
      <x:c r="E15" s="10" t="n">
        <x:v>7093368</x:v>
      </x:c>
      <x:c r="F15" s="10" t="n">
        <x:v>6861963</x:v>
      </x:c>
      <x:c r="G15" s="10" t="n">
        <x:v>7072885</x:v>
      </x:c>
      <x:c r="H15" s="29" t="str">
        <x:v>B1 p.108; T1 p.78</x:v>
      </x:c>
      <x:c r="I15" s="5" t="str">
        <x:v>NBG Basel III bank-only regulatory basis, not IFRS equity.</x:v>
      </x:c>
      <x:c r="J15" s="2"/>
    </x:row>
    <x:row r="16" ht="47" customHeight="1">
      <x:c r="A16" s="2" t="str">
        <x:v>rwa</x:v>
      </x:c>
      <x:c r="B16" s="5" t="str">
        <x:v>Risk-weighted assets/exposures</x:v>
      </x:c>
      <x:c r="C16" s="5" t="str">
        <x:v>GEL thousands</x:v>
      </x:c>
      <x:c r="D16" s="10" t="n">
        <x:v>29080593</x:v>
      </x:c>
      <x:c r="E16" s="10" t="n">
        <x:v>32187358</x:v>
      </x:c>
      <x:c r="F16" s="10" t="n">
        <x:v>28842828</x:v>
      </x:c>
      <x:c r="G16" s="10" t="n">
        <x:v>31405697</x:v>
      </x:c>
      <x:c r="H16" s="29" t="str">
        <x:v>B1 p.108; T1 p.78</x:v>
      </x:c>
      <x:c r="I16" s="5" t="str">
        <x:v>NBG Basel III basis. Different portfolio risk weights and Pillar 2 requirements remain.</x:v>
      </x:c>
      <x:c r="J16" s="2"/>
    </x:row>
    <x:row r="17" ht="47" customHeight="1">
      <x:c r="A17" s="2" t="str">
        <x:v>reported_car</x:v>
      </x:c>
      <x:c r="B17" s="5" t="str">
        <x:v>Reported total CAR</x:v>
      </x:c>
      <x:c r="C17" s="5" t="str">
        <x:v>decimal ratio</x:v>
      </x:c>
      <x:c r="D17" s="11" t="n">
        <x:v>0.221</x:v>
      </x:c>
      <x:c r="E17" s="11" t="n">
        <x:v>0.22</x:v>
      </x:c>
      <x:c r="F17" s="11" t="n">
        <x:v>0.238</x:v>
      </x:c>
      <x:c r="G17" s="11" t="n">
        <x:v>0.225</x:v>
      </x:c>
      <x:c r="H17" s="29" t="str">
        <x:v>B1 p.108; T1 p.78</x:v>
      </x:c>
      <x:c r="I17" s="5" t="str">
        <x:v>Reported rounded to 0.1 percentage point.</x:v>
      </x:c>
      <x:c r="J17" s="2"/>
    </x:row>
    <x:row r="18" ht="47" customHeight="1">
      <x:c r="A18" s="2" t="str">
        <x:v>min_car</x:v>
      </x:c>
      <x:c r="B18" s="5" t="str">
        <x:v>Reported minimum total CAR</x:v>
      </x:c>
      <x:c r="C18" s="5" t="str">
        <x:v>decimal ratio</x:v>
      </x:c>
      <x:c r="D18" s="11" t="n">
        <x:v>0.199</x:v>
      </x:c>
      <x:c r="E18" s="11" t="n">
        <x:v>0.202</x:v>
      </x:c>
      <x:c r="F18" s="11" t="n">
        <x:v>0.197</x:v>
      </x:c>
      <x:c r="G18" s="11" t="n">
        <x:v>0.2</x:v>
      </x:c>
      <x:c r="H18" s="29" t="str">
        <x:v>B1 p.108; T1 p.78</x:v>
      </x:c>
      <x:c r="I18" s="5" t="str">
        <x:v>Bank-specific requirements. Headroom is arithmetic over displayed minimum, not stress capacity.</x:v>
      </x:c>
      <x:c r="J18" s="2"/>
    </x:row>
    <x:row r="19" ht="47" customHeight="1">
      <x:c r="A19" s="2" t="str">
        <x:v>bs_loans</x:v>
      </x:c>
      <x:c r="B19" s="5" t="str">
        <x:v>Balance sheet net lending line</x:v>
      </x:c>
      <x:c r="C19" s="5" t="str">
        <x:v>GEL thousands</x:v>
      </x:c>
      <x:c r="D19" s="10" t="n">
        <x:v>23537245</x:v>
      </x:c>
      <x:c r="E19" s="10" t="n">
        <x:v>27288604</x:v>
      </x:c>
      <x:c r="F19" s="10" t="n">
        <x:v>24188589</x:v>
      </x:c>
      <x:c r="G19" s="10" t="n">
        <x:v>26618040</x:v>
      </x:c>
      <x:c r="H19" s="29" t="str">
        <x:v>B1 p.5; T1 p.170</x:v>
      </x:c>
      <x:c r="I19" s="5" t="str">
        <x:v>BOG includes factoring/leases. TBC separate-bank customer loans.</x:v>
      </x:c>
      <x:c r="J19" s="2"/>
    </x:row>
    <x:row r="20" ht="47" customHeight="1">
      <x:c r="A20" s="2" t="str">
        <x:v>factoring</x:v>
      </x:c>
      <x:c r="B20" s="5" t="str">
        <x:v>Net factoring receivables</x:v>
      </x:c>
      <x:c r="C20" s="5" t="str">
        <x:v>GEL thousands</x:v>
      </x:c>
      <x:c r="D20" s="10" t="n">
        <x:v>33806</x:v>
      </x:c>
      <x:c r="E20" s="10" t="n">
        <x:v>112184</x:v>
      </x:c>
      <x:c r="F20" s="10" t="str">
        <x:v>N/A</x:v>
      </x:c>
      <x:c r="G20" s="10" t="str">
        <x:v>N/A</x:v>
      </x:c>
      <x:c r="H20" s="29" t="str">
        <x:v>B1 p.36</x:v>
      </x:c>
      <x:c r="I20" s="5" t="str">
        <x:v>Not included in core net customer loan ratios. TBC N/A: separate comparable line not used.</x:v>
      </x:c>
      <x:c r="J20" s="2"/>
    </x:row>
    <x:row r="21" ht="47" customHeight="1">
      <x:c r="A21" s="2" t="str">
        <x:v>lease</x:v>
      </x:c>
      <x:c r="B21" s="5" t="str">
        <x:v>Net finance lease receivables</x:v>
      </x:c>
      <x:c r="C21" s="5" t="str">
        <x:v>GEL thousands</x:v>
      </x:c>
      <x:c r="D21" s="10" t="n">
        <x:v>15469</x:v>
      </x:c>
      <x:c r="E21" s="10" t="n">
        <x:v>14141</x:v>
      </x:c>
      <x:c r="F21" s="10" t="str">
        <x:v>N/A</x:v>
      </x:c>
      <x:c r="G21" s="10" t="str">
        <x:v>N/A</x:v>
      </x:c>
      <x:c r="H21" s="29" t="str">
        <x:v>B1 p.36</x:v>
      </x:c>
      <x:c r="I21" s="5" t="str">
        <x:v>Not included in core net customer loan ratios.</x:v>
      </x:c>
      <x:c r="J21" s="2"/>
    </x:row>
    <x:row r="22" ht="47" customHeight="1">
      <x:c r="A22" s="2" t="str">
        <x:v>gross_note</x:v>
      </x:c>
      <x:c r="B22" s="5" t="str">
        <x:v>Gross customer loans, loan note</x:v>
      </x:c>
      <x:c r="C22" s="5" t="str">
        <x:v>GEL thousands</x:v>
      </x:c>
      <x:c r="D22" s="10" t="n">
        <x:v>23821336</x:v>
      </x:c>
      <x:c r="E22" s="10" t="n">
        <x:v>27511241</x:v>
      </x:c>
      <x:c r="F22" s="10" t="n">
        <x:v>24519589</x:v>
      </x:c>
      <x:c r="G22" s="10" t="n">
        <x:v>26994035</x:v>
      </x:c>
      <x:c r="H22" s="29" t="str">
        <x:v>B1 p.36; T1 p.193</x:v>
      </x:c>
      <x:c r="I22" s="5" t="str">
        <x:v>BOG separate bank. TBC JSC bank-group note, not verified separate bank. Supplemental only.</x:v>
      </x:c>
      <x:c r="J22" s="2"/>
    </x:row>
    <x:row r="23" ht="47" customHeight="1">
      <x:c r="A23" s="2" t="str">
        <x:v>allowance_note</x:v>
      </x:c>
      <x:c r="B23" s="5" t="str">
        <x:v>Loan allowance, positive magnitude</x:v>
      </x:c>
      <x:c r="C23" s="5" t="str">
        <x:v>GEL thousands</x:v>
      </x:c>
      <x:c r="D23" s="10" t="n">
        <x:v>333366</x:v>
      </x:c>
      <x:c r="E23" s="10" t="n">
        <x:v>348962</x:v>
      </x:c>
      <x:c r="F23" s="10" t="n">
        <x:v>332245</x:v>
      </x:c>
      <x:c r="G23" s="10" t="n">
        <x:v>375995</x:v>
      </x:c>
      <x:c r="H23" s="29" t="str">
        <x:v>B1 p.36; T1 p.193</x:v>
      </x:c>
      <x:c r="I23" s="5" t="str">
        <x:v>Sign normalized from negative source allowance, explicitly positive here. TBC note scope caveat.</x:v>
      </x:c>
      <x:c r="J23" s="2"/>
    </x:row>
    <x:row r="24" ht="47" customHeight="1">
      <x:c r="A24" s="2" t="str">
        <x:v>stage3_note</x:v>
      </x:c>
      <x:c r="B24" s="5" t="str">
        <x:v>Stage 3 gross customer loans</x:v>
      </x:c>
      <x:c r="C24" s="5" t="str">
        <x:v>GEL thousands</x:v>
      </x:c>
      <x:c r="D24" s="10" t="n">
        <x:v>469989</x:v>
      </x:c>
      <x:c r="E24" s="10" t="n">
        <x:v>559997</x:v>
      </x:c>
      <x:c r="F24" s="10" t="n">
        <x:v>539646</x:v>
      </x:c>
      <x:c r="G24" s="10" t="n">
        <x:v>654257</x:v>
      </x:c>
      <x:c r="H24" s="29" t="str">
        <x:v>B1 p.37; T1 pp.194-195</x:v>
      </x:c>
      <x:c r="I24" s="5" t="str">
        <x:v>Excludes BOG POCI. TBC note scope not verified separate bank. Never label as NPL.</x:v>
      </x:c>
      <x:c r="J24" s="2"/>
    </x:row>
    <x:row r="25" ht="47" customHeight="1">
      <x:c r="A25" s="2" t="str">
        <x:v>reported_roa</x:v>
      </x:c>
      <x:c r="B25" s="5" t="str">
        <x:v>TBC reported group ROA</x:v>
      </x:c>
      <x:c r="C25" s="5" t="str">
        <x:v>decimal ratio</x:v>
      </x:c>
      <x:c r="D25" s="11" t="str">
        <x:v>N/A</x:v>
      </x:c>
      <x:c r="E25" s="11" t="str">
        <x:v>N/A</x:v>
      </x:c>
      <x:c r="F25" s="11" t="n">
        <x:v>0.037</x:v>
      </x:c>
      <x:c r="G25" s="11" t="n">
        <x:v>0.035</x:v>
      </x:c>
      <x:c r="H25" s="29" t="str">
        <x:v>T1 p.53; definition p.292</x:v>
      </x:c>
      <x:c r="I25" s="5" t="str">
        <x:v>JSC TBC consolidated group; monthly averages. Context only, not a matching benchmark.</x:v>
      </x:c>
      <x:c r="J25" s="2"/>
    </x:row>
    <x:row r="26" ht="47" customHeight="1">
      <x:c r="A26" s="2" t="str">
        <x:v>reported_roe</x:v>
      </x:c>
      <x:c r="B26" s="5" t="str">
        <x:v>TBC reported group ROE</x:v>
      </x:c>
      <x:c r="C26" s="5" t="str">
        <x:v>decimal ratio</x:v>
      </x:c>
      <x:c r="D26" s="11" t="str">
        <x:v>N/A</x:v>
      </x:c>
      <x:c r="E26" s="11" t="str">
        <x:v>N/A</x:v>
      </x:c>
      <x:c r="F26" s="11" t="n">
        <x:v>0.251</x:v>
      </x:c>
      <x:c r="G26" s="11" t="n">
        <x:v>0.239</x:v>
      </x:c>
      <x:c r="H26" s="29" t="str">
        <x:v>T1 p.53; definition p.292</x:v>
      </x:c>
      <x:c r="I26" s="5" t="str">
        <x:v>Group owner profit/equity and monthly averages. Context only.</x:v>
      </x:c>
      <x:c r="J26" s="2"/>
    </x:row>
    <x:row r="27" ht="47" customHeight="1">
      <x:c r="A27" s="2" t="str">
        <x:v>reported_cir</x:v>
      </x:c>
      <x:c r="B27" s="5" t="str">
        <x:v>TBC reported group cost/income</x:v>
      </x:c>
      <x:c r="C27" s="5" t="str">
        <x:v>decimal ratio</x:v>
      </x:c>
      <x:c r="D27" s="11" t="str">
        <x:v>N/A</x:v>
      </x:c>
      <x:c r="E27" s="11" t="str">
        <x:v>N/A</x:v>
      </x:c>
      <x:c r="F27" s="11" t="n">
        <x:v>0.328</x:v>
      </x:c>
      <x:c r="G27" s="11" t="n">
        <x:v>0.331</x:v>
      </x:c>
      <x:c r="H27" s="29" t="str">
        <x:v>T1 p.53; definition p.292</x:v>
      </x:c>
      <x:c r="I27" s="5" t="str">
        <x:v>Consolidated group, different scope from separate-bank calculation.</x:v>
      </x:c>
      <x:c r="J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2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 ht="2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 ht="2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 ht="2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 ht="2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 ht="2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 ht="2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 ht="2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 ht="2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 ht="2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 ht="2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 ht="2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 ht="2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 ht="2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 ht="2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 ht="2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 ht="2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 ht="2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 ht="2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 ht="2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 ht="2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 ht="2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 ht="2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 ht="2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 ht="2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 ht="2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 ht="2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 ht="2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 ht="2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 ht="2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 ht="2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 ht="2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  <x:row r="86" ht="2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</x:row>
    <x:row r="87" ht="2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</x:row>
    <x:row r="88" ht="2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</x:row>
    <x:row r="89" ht="2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</x:row>
    <x:row r="90" ht="2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</x:row>
  </x:sheetData>
  <x:pageMargins left="0.7" right="0.7" top="0.75" bottom="0.75" header="0.3" footer="0.3"/>
  <x:pageSetup paperSize="9" orientation="landscape" fitToWidth="1" fitToHeight="0"/>
  <x:tableParts count="1">
    <x:tablePart xmlns:r="http://schemas.openxmlformats.org/officeDocument/2006/relationships" r:id="Rccaaa4d220034909"/>
  </x:tableParts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9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9" customHeight="1">
      <x:c r="A2" s="3" t="str">
        <x:v>Ratio calculations</x:v>
      </x:c>
      <x:c r="B2" s="3"/>
      <x:c r="C2" s="3"/>
      <x:c r="D2" s="3"/>
      <x:c r="E2" s="3"/>
      <x:c r="F2" s="3"/>
      <x:c r="G2" s="2"/>
      <x:c r="H2" s="2"/>
      <x:c r="I2" s="2"/>
      <x:c r="J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0" customHeight="1">
      <x:c r="A4" s="8" t="str">
        <x:v>Measure</x:v>
      </x:c>
      <x:c r="B4" s="8" t="str">
        <x:v>BOG 2024</x:v>
      </x:c>
      <x:c r="C4" s="8" t="str">
        <x:v>BOG 2025</x:v>
      </x:c>
      <x:c r="D4" s="8" t="str">
        <x:v>TBC 2024</x:v>
      </x:c>
      <x:c r="E4" s="8" t="str">
        <x:v>TBC 2025</x:v>
      </x:c>
      <x:c r="F4" s="31" t="str">
        <x:v>Definition / boundary</x:v>
      </x:c>
      <x:c r="G4" s="2"/>
      <x:c r="H4" s="2"/>
      <x:c r="I4" s="2"/>
      <x:c r="J4" s="2"/>
    </x:row>
    <x:row r="5" ht="43" customHeight="1">
      <x:c r="A5" s="2" t="str">
        <x:v>Average assets</x:v>
      </x:c>
      <x:c r="B5" s="13" t="str">
        <x:v>N/A</x:v>
      </x:c>
      <x:c r="C5" s="14" t="n">
        <x:f>IF(AND(COUNT(Raw_Data!D5,Raw_Data!E5)=2,Raw_Data!D5&gt;0),AVERAGE(Raw_Data!D5,Raw_Data!E5),"N/A")</x:f>
        <x:v>40012200.5</x:v>
      </x:c>
      <x:c r="D5" s="13" t="str">
        <x:v>N/A</x:v>
      </x:c>
      <x:c r="E5" s="14" t="n">
        <x:f>IF(AND(COUNT(Raw_Data!F5,Raw_Data!G5)=2,Raw_Data!F5&gt;0),AVERAGE(Raw_Data!F5,Raw_Data!G5),"N/A")</x:f>
        <x:v>38094009.5</x:v>
      </x:c>
      <x:c r="F5" s="29" t="str">
        <x:v>Simple arithmetic mean of opening and closing year-end assets (GEL thousands).</x:v>
      </x:c>
      <x:c r="G5" s="2"/>
      <x:c r="H5" s="2"/>
      <x:c r="I5" s="2"/>
      <x:c r="J5" s="2"/>
    </x:row>
    <x:row r="6" ht="43" customHeight="1">
      <x:c r="A6" s="2" t="str">
        <x:v>Average equity</x:v>
      </x:c>
      <x:c r="B6" s="13" t="str">
        <x:v>N/A</x:v>
      </x:c>
      <x:c r="C6" s="14" t="n">
        <x:f>IF(AND(COUNT(Raw_Data!D7,Raw_Data!E7)=2,Raw_Data!D7&gt;0),AVERAGE(Raw_Data!D7,Raw_Data!E7),"N/A")</x:f>
        <x:v>5564729.5</x:v>
      </x:c>
      <x:c r="D6" s="13" t="str">
        <x:v>N/A</x:v>
      </x:c>
      <x:c r="E6" s="14" t="n">
        <x:f>IF(AND(COUNT(Raw_Data!F7,Raw_Data!G7)=2,Raw_Data!F7&gt;0),AVERAGE(Raw_Data!F7,Raw_Data!G7),"N/A")</x:f>
        <x:v>5471076.5</x:v>
      </x:c>
      <x:c r="F6" s="29" t="str">
        <x:v>Simple arithmetic mean of opening and closing year-end IFRS equity (GEL thousands).</x:v>
      </x:c>
      <x:c r="G6" s="2"/>
      <x:c r="H6" s="2"/>
      <x:c r="I6" s="2"/>
      <x:c r="J6" s="2"/>
    </x:row>
    <x:row r="7" ht="43" customHeight="1">
      <x:c r="A7" s="2" t="str">
        <x:v>Operating income</x:v>
      </x:c>
      <x:c r="B7" s="14" t="n">
        <x:f>Raw_Data!D12</x:f>
        <x:v>2601219</x:v>
      </x:c>
      <x:c r="C7" s="14" t="n">
        <x:f>Raw_Data!E12</x:f>
        <x:v>2929984</x:v>
      </x:c>
      <x:c r="D7" s="14" t="n">
        <x:f>IF(AND(COUNT(Raw_Data!F12,Raw_Data!F13,Raw_Data!F14)=3,Raw_Data!F12&gt;0),Raw_Data!F12+Raw_Data!F13+Raw_Data!F14,"N/A")</x:f>
        <x:v>2229097</x:v>
      </x:c>
      <x:c r="E7" s="14" t="n">
        <x:f>IF(AND(COUNT(Raw_Data!G12,Raw_Data!G13,Raw_Data!G14)=3,Raw_Data!G12&gt;0),Raw_Data!G12+Raw_Data!G13+Raw_Data!G14,"N/A")</x:f>
        <x:v>2463957</x:v>
      </x:c>
      <x:c r="F7" s="29" t="str">
        <x:v>Pre-impairment operating income. BOG total. TBC NII + net fees + other income (GEL thousands).</x:v>
      </x:c>
      <x:c r="G7" s="2"/>
      <x:c r="H7" s="2"/>
      <x:c r="I7" s="2"/>
      <x:c r="J7" s="2"/>
    </x:row>
    <x:row r="8" ht="43" customHeight="1">
      <x:c r="A8" s="2"/>
      <x:c r="B8" s="2"/>
      <x:c r="C8" s="2"/>
      <x:c r="D8" s="2"/>
      <x:c r="E8" s="2"/>
      <x:c r="F8" s="29"/>
      <x:c r="G8" s="2"/>
      <x:c r="H8" s="2"/>
      <x:c r="I8" s="2"/>
      <x:c r="J8" s="2"/>
    </x:row>
    <x:row r="9" ht="43" customHeight="1">
      <x:c r="A9" s="2"/>
      <x:c r="B9" s="2"/>
      <x:c r="C9" s="2"/>
      <x:c r="D9" s="2"/>
      <x:c r="E9" s="2"/>
      <x:c r="F9" s="29"/>
      <x:c r="G9" s="2"/>
      <x:c r="H9" s="2"/>
      <x:c r="I9" s="2"/>
      <x:c r="J9" s="2"/>
    </x:row>
    <x:row r="10" ht="43" customHeight="1">
      <x:c r="A10" s="2"/>
      <x:c r="B10" s="2"/>
      <x:c r="C10" s="2"/>
      <x:c r="D10" s="2"/>
      <x:c r="E10" s="2"/>
      <x:c r="F10" s="29"/>
      <x:c r="G10" s="2"/>
      <x:c r="H10" s="2"/>
      <x:c r="I10" s="2"/>
      <x:c r="J10" s="2"/>
    </x:row>
    <x:row r="11" ht="43" customHeight="1">
      <x:c r="A11" s="17" t="str">
        <x:v>ROA</x:v>
      </x:c>
      <x:c r="B11" s="18" t="str">
        <x:f>IF(AND(COUNT(Raw_Data!D8,B5)=2,B5&gt;0),Raw_Data!D8/B5,"N/A")</x:f>
        <x:v>N/A</x:v>
      </x:c>
      <x:c r="C11" s="18" t="n">
        <x:f>IF(AND(COUNT(Raw_Data!E8,C5)=2,C5&gt;0),Raw_Data!E8/C5,"N/A")</x:f>
        <x:v>0.04076544103091756</x:v>
      </x:c>
      <x:c r="D11" s="18" t="str">
        <x:f>IF(AND(COUNT(Raw_Data!F8,D5)=2,D5&gt;0),Raw_Data!F8/D5,"N/A")</x:f>
        <x:v>N/A</x:v>
      </x:c>
      <x:c r="E11" s="18" t="n">
        <x:f>IF(AND(COUNT(Raw_Data!G8,E5)=2,E5&gt;0),Raw_Data!G8/E5,"N/A")</x:f>
        <x:v>0.03353766161054798</x:v>
      </x:c>
      <x:c r="F11" s="29" t="str">
        <x:v>Full-year after-tax bank profit / average assets. Two-point average; no annualisation.</x:v>
      </x:c>
      <x:c r="G11" s="2"/>
      <x:c r="H11" s="2"/>
      <x:c r="I11" s="2"/>
      <x:c r="J11" s="2"/>
    </x:row>
    <x:row r="12" ht="43" customHeight="1">
      <x:c r="A12" s="17" t="str">
        <x:v>ROE</x:v>
      </x:c>
      <x:c r="B12" s="18" t="str">
        <x:f>IF(AND(COUNT(Raw_Data!D8,B6)=2,B6&gt;0),Raw_Data!D8/B6,"N/A")</x:f>
        <x:v>N/A</x:v>
      </x:c>
      <x:c r="C12" s="18" t="n">
        <x:f>IF(AND(COUNT(Raw_Data!E8,C6)=2,C6&gt;0),Raw_Data!E8/C6,"N/A")</x:f>
        <x:v>0.293116673505873</x:v>
      </x:c>
      <x:c r="D12" s="18" t="str">
        <x:f>IF(AND(COUNT(Raw_Data!F8,D6)=2,D6&gt;0),Raw_Data!F8/D6,"N/A")</x:f>
        <x:v>N/A</x:v>
      </x:c>
      <x:c r="E12" s="18" t="n">
        <x:f>IF(AND(COUNT(Raw_Data!G8,E6)=2,E6&gt;0),Raw_Data!G8/E6,"N/A")</x:f>
        <x:v>0.2335160182826908</x:v>
      </x:c>
      <x:c r="F12" s="29" t="str">
        <x:v>Full-year after-tax bank profit / average IFRS equity. Two-point average.</x:v>
      </x:c>
      <x:c r="G12" s="2"/>
      <x:c r="H12" s="2"/>
      <x:c r="I12" s="2"/>
      <x:c r="J12" s="2"/>
    </x:row>
    <x:row r="13" ht="43" customHeight="1">
      <x:c r="A13" s="17" t="str">
        <x:v>Net customer loan growth</x:v>
      </x:c>
      <x:c r="B13" s="19" t="str">
        <x:v>N/A</x:v>
      </x:c>
      <x:c r="C13" s="18" t="n">
        <x:f>IF(AND(COUNT(Raw_Data!E9,Raw_Data!D9)=2,Raw_Data!D9&gt;0),Raw_Data!E9/Raw_Data!D9-1,"N/A")</x:f>
        <x:v>0.1564336551860377</x:v>
      </x:c>
      <x:c r="D13" s="19" t="str">
        <x:v>N/A</x:v>
      </x:c>
      <x:c r="E13" s="18" t="n">
        <x:f>IF(AND(COUNT(Raw_Data!G9,Raw_Data!F9)=2,Raw_Data!F9&gt;0),Raw_Data!G9/Raw_Data!F9-1,"N/A")</x:f>
        <x:v>0.10043789656354085</x:v>
      </x:c>
      <x:c r="F13" s="29" t="str">
        <x:v>Closing net customer loans / prior-year closing net customer loans minus 1. Nominal GEL change, includes FX/ECL effects.</x:v>
      </x:c>
      <x:c r="G13" s="2"/>
      <x:c r="H13" s="2"/>
      <x:c r="I13" s="2"/>
      <x:c r="J13" s="2"/>
    </x:row>
    <x:row r="14" ht="43" customHeight="1">
      <x:c r="A14" s="17" t="str">
        <x:v>Net loans / customer funding</x:v>
      </x:c>
      <x:c r="B14" s="18" t="n">
        <x:f>IF(AND(COUNT(Raw_Data!D9,Raw_Data!D10)=2,Raw_Data!D10&gt;0),Raw_Data!D9/Raw_Data!D10,"N/A")</x:f>
        <x:v>0.9735141073308134</x:v>
      </x:c>
      <x:c r="C14" s="18" t="n">
        <x:f>IF(AND(COUNT(Raw_Data!E9,Raw_Data!E10)=2,Raw_Data!E10&gt;0),Raw_Data!E9/Raw_Data!E10,"N/A")</x:f>
        <x:v>0.9902751545425134</x:v>
      </x:c>
      <x:c r="D14" s="18" t="n">
        <x:f>IF(AND(COUNT(Raw_Data!F9,Raw_Data!F10)=2,Raw_Data!F10&gt;0),Raw_Data!F9/Raw_Data!F10,"N/A")</x:f>
        <x:v>1.0924869683181526</x:v>
      </x:c>
      <x:c r="E14" s="18" t="n">
        <x:f>IF(AND(COUNT(Raw_Data!G9,Raw_Data!G10)=2,Raw_Data!G10&gt;0),Raw_Data!G9/Raw_Data!G10,"N/A")</x:f>
        <x:v>1.083923124726836</x:v>
      </x:c>
      <x:c r="F14" s="29" t="str">
        <x:v>Net customer loans / customer funding. BOG deposits and notes versus TBC customer accounts. Not a regulatory liquidity measure.</x:v>
      </x:c>
      <x:c r="G14" s="2"/>
      <x:c r="H14" s="2"/>
      <x:c r="I14" s="2"/>
      <x:c r="J14" s="2"/>
    </x:row>
    <x:row r="15" ht="43" customHeight="1">
      <x:c r="A15" s="17" t="str">
        <x:v>Cost / income</x:v>
      </x:c>
      <x:c r="B15" s="18" t="n">
        <x:f>IF(AND(COUNT(Raw_Data!D11,B7)=2,B7&gt;0),ABS(Raw_Data!D11)/B7,"N/A")</x:f>
        <x:v>0.27876622460469497</x:v>
      </x:c>
      <x:c r="C15" s="18" t="n">
        <x:f>IF(AND(COUNT(Raw_Data!E11,C7)=2,C7&gt;0),ABS(Raw_Data!E11)/C7,"N/A")</x:f>
        <x:v>0.2997217732247002</x:v>
      </x:c>
      <x:c r="D15" s="18" t="n">
        <x:f>IF(AND(COUNT(Raw_Data!F11,D7)=2,D7&gt;0),ABS(Raw_Data!F11)/D7,"N/A")</x:f>
        <x:v>0.30856082081668046</x:v>
      </x:c>
      <x:c r="E15" s="18" t="n">
        <x:f>IF(AND(COUNT(Raw_Data!G11,E7)=2,E7&gt;0),ABS(Raw_Data!G11)/E7,"N/A")</x:f>
        <x:v>0.31424817884403017</x:v>
      </x:c>
      <x:c r="F15" s="29" t="str">
        <x:v>ABS(source operating expenses) / pre-impairment operating income. Accounting classifications remain as reported.</x:v>
      </x:c>
      <x:c r="G15" s="2"/>
      <x:c r="H15" s="2"/>
      <x:c r="I15" s="2"/>
      <x:c r="J15" s="2"/>
    </x:row>
    <x:row r="16" ht="43" customHeight="1">
      <x:c r="A16" s="17" t="str">
        <x:v>Total regulatory CAR</x:v>
      </x:c>
      <x:c r="B16" s="18" t="n">
        <x:f>IF(AND(COUNT(Raw_Data!D15,Raw_Data!D16)=2,Raw_Data!D16&gt;0),Raw_Data!D15/Raw_Data!D16,"N/A")</x:f>
        <x:v>0.22076004433609728</x:v>
      </x:c>
      <x:c r="C16" s="18" t="n">
        <x:f>IF(AND(COUNT(Raw_Data!E15,Raw_Data!E16)=2,Raw_Data!E16&gt;0),Raw_Data!E15/Raw_Data!E16,"N/A")</x:f>
        <x:v>0.220377453781699</x:v>
      </x:c>
      <x:c r="D16" s="18" t="n">
        <x:f>IF(AND(COUNT(Raw_Data!F15,Raw_Data!F16)=2,Raw_Data!F16&gt;0),Raw_Data!F15/Raw_Data!F16,"N/A")</x:f>
        <x:v>0.2379088139346114</x:v>
      </x:c>
      <x:c r="E16" s="18" t="n">
        <x:f>IF(AND(COUNT(Raw_Data!G15,Raw_Data!G16)=2,Raw_Data!G16&gt;0),Raw_Data!G15/Raw_Data!G16,"N/A")</x:f>
        <x:v>0.22521025405040365</x:v>
      </x:c>
      <x:c r="F16" s="29" t="str">
        <x:v>Total NBG regulatory capital / NBG risk-weighted assets/exposures. Same national Basel III framework, different bank risks.</x:v>
      </x:c>
      <x:c r="G16" s="2"/>
      <x:c r="H16" s="2"/>
      <x:c r="I16" s="2"/>
      <x:c r="J16" s="2"/>
    </x:row>
    <x:row r="17" ht="43" customHeight="1">
      <x:c r="A17" s="17" t="str">
        <x:v>CAR less minimum</x:v>
      </x:c>
      <x:c r="B17" s="18" t="n">
        <x:f>IF(AND(COUNT(B16,Raw_Data!D18)=2,Raw_Data!D18&gt;0),B16-Raw_Data!D18,"N/A")</x:f>
        <x:v>0.021760044336097267</x:v>
      </x:c>
      <x:c r="C17" s="18" t="n">
        <x:f>IF(AND(COUNT(C16,Raw_Data!E18)=2,Raw_Data!E18&gt;0),C16-Raw_Data!E18,"N/A")</x:f>
        <x:v>0.018377453781699</x:v>
      </x:c>
      <x:c r="D17" s="18" t="n">
        <x:f>IF(AND(COUNT(D16,Raw_Data!F18)=2,Raw_Data!F18&gt;0),D16-Raw_Data!F18,"N/A")</x:f>
        <x:v>0.040908813934611404</x:v>
      </x:c>
      <x:c r="E17" s="18" t="n">
        <x:f>IF(AND(COUNT(E16,Raw_Data!G18)=2,Raw_Data!G18&gt;0),E16-Raw_Data!G18,"N/A")</x:f>
        <x:v>0.02521025405040364</x:v>
      </x:c>
      <x:c r="F17" s="29" t="str">
        <x:v>Calculated CAR less disclosed bank-specific minimum total CAR. Percentage points when multiplied by 100.</x:v>
      </x:c>
      <x:c r="G17" s="2"/>
      <x:c r="H17" s="2"/>
      <x:c r="I17" s="2"/>
      <x:c r="J17" s="2"/>
    </x:row>
    <x:row r="18" ht="43" customHeight="1">
      <x:c r="A18" s="17"/>
      <x:c r="B18" s="19"/>
      <x:c r="C18" s="19"/>
      <x:c r="D18" s="19"/>
      <x:c r="E18" s="19"/>
      <x:c r="F18" s="29"/>
      <x:c r="G18" s="2"/>
      <x:c r="H18" s="2"/>
      <x:c r="I18" s="2"/>
      <x:c r="J18" s="2"/>
    </x:row>
    <x:row r="19" ht="43" customHeight="1">
      <x:c r="A19" s="17"/>
      <x:c r="B19" s="19"/>
      <x:c r="C19" s="19"/>
      <x:c r="D19" s="19"/>
      <x:c r="E19" s="19"/>
      <x:c r="F19" s="29"/>
      <x:c r="G19" s="2"/>
      <x:c r="H19" s="2"/>
      <x:c r="I19" s="2"/>
      <x:c r="J19" s="2"/>
    </x:row>
    <x:row r="20" ht="43" customHeight="1">
      <x:c r="A20" s="17" t="str">
        <x:v>Stage 3 share (context only)</x:v>
      </x:c>
      <x:c r="B20" s="18" t="n">
        <x:f>IF(AND(COUNT(Raw_Data!D24,Raw_Data!D22)=2,Raw_Data!D22&gt;0),Raw_Data!D24/Raw_Data!D22,"N/A")</x:f>
        <x:v>0.01972974983435018</x:v>
      </x:c>
      <x:c r="C20" s="18" t="n">
        <x:f>IF(AND(COUNT(Raw_Data!E24,Raw_Data!E22)=2,Raw_Data!E22&gt;0),Raw_Data!E24/Raw_Data!E22,"N/A")</x:f>
        <x:v>0.020355206804374984</x:v>
      </x:c>
      <x:c r="D20" s="18" t="n">
        <x:f>IF(AND(COUNT(Raw_Data!F24,Raw_Data!F22)=2,Raw_Data!F22&gt;0),Raw_Data!F24/Raw_Data!F22,"N/A")</x:f>
        <x:v>0.022008770212257635</x:v>
      </x:c>
      <x:c r="E20" s="18" t="n">
        <x:f>IF(AND(COUNT(Raw_Data!G24,Raw_Data!G22)=2,Raw_Data!G22&gt;0),Raw_Data!G24/Raw_Data!G22,"N/A")</x:f>
        <x:v>0.02423709534347125</x:v>
      </x:c>
      <x:c r="F20" s="29" t="str">
        <x:v>Stage 3 gross loans / total gross customer loans in loan note. Supplemental: BOG separate bank versus unverified TBC note scope.</x:v>
      </x:c>
      <x:c r="G20" s="2"/>
      <x:c r="H20" s="2"/>
      <x:c r="I20" s="2"/>
      <x:c r="J20" s="2"/>
    </x:row>
    <x:row r="21" ht="43" customHeight="1">
      <x:c r="A21" s="17" t="str">
        <x:v>Reported group ROA (context)</x:v>
      </x:c>
      <x:c r="B21" s="18" t="str">
        <x:f>Raw_Data!D25</x:f>
        <x:v>N/A</x:v>
      </x:c>
      <x:c r="C21" s="18" t="str">
        <x:f>Raw_Data!E25</x:f>
        <x:v>N/A</x:v>
      </x:c>
      <x:c r="D21" s="18" t="n">
        <x:f>Raw_Data!F25</x:f>
        <x:v>0.037</x:v>
      </x:c>
      <x:c r="E21" s="18" t="n">
        <x:f>Raw_Data!G25</x:f>
        <x:v>0.035</x:v>
      </x:c>
      <x:c r="F21" s="29" t="str">
        <x:v>TBC reported GROUP ROA. Monthly averages and group scope; not a same-definition reconciliation.</x:v>
      </x:c>
      <x:c r="G21" s="2"/>
      <x:c r="H21" s="2"/>
      <x:c r="I21" s="2"/>
      <x:c r="J21" s="2"/>
    </x:row>
    <x:row r="22" ht="43" customHeight="1">
      <x:c r="A22" s="17" t="str">
        <x:v>Reported group ROE (context)</x:v>
      </x:c>
      <x:c r="B22" s="18" t="str">
        <x:f>Raw_Data!D26</x:f>
        <x:v>N/A</x:v>
      </x:c>
      <x:c r="C22" s="18" t="str">
        <x:f>Raw_Data!E26</x:f>
        <x:v>N/A</x:v>
      </x:c>
      <x:c r="D22" s="18" t="n">
        <x:f>Raw_Data!F26</x:f>
        <x:v>0.251</x:v>
      </x:c>
      <x:c r="E22" s="18" t="n">
        <x:f>Raw_Data!G26</x:f>
        <x:v>0.239</x:v>
      </x:c>
      <x:c r="F22" s="29" t="str">
        <x:v>TBC reported GROUP ROE. Monthly averages and owner attribution; not a same-definition reconciliation.</x:v>
      </x:c>
      <x:c r="G22" s="2"/>
      <x:c r="H22" s="2"/>
      <x:c r="I22" s="2"/>
      <x:c r="J22" s="2"/>
    </x:row>
    <x:row r="23" ht="43" customHeight="1">
      <x:c r="A23" s="17" t="str">
        <x:v>Reported group CIR (context)</x:v>
      </x:c>
      <x:c r="B23" s="18" t="str">
        <x:f>Raw_Data!D27</x:f>
        <x:v>N/A</x:v>
      </x:c>
      <x:c r="C23" s="18" t="str">
        <x:f>Raw_Data!E27</x:f>
        <x:v>N/A</x:v>
      </x:c>
      <x:c r="D23" s="18" t="n">
        <x:f>Raw_Data!F27</x:f>
        <x:v>0.328</x:v>
      </x:c>
      <x:c r="E23" s="18" t="n">
        <x:f>Raw_Data!G27</x:f>
        <x:v>0.331</x:v>
      </x:c>
      <x:c r="F23" s="29" t="str">
        <x:v>TBC reported GROUP cost/income. Different scope from this separate-bank calculation.</x:v>
      </x:c>
      <x:c r="G23" s="2"/>
      <x:c r="H23" s="2"/>
      <x:c r="I23" s="2"/>
      <x:c r="J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5" customHeight="1">
      <x:c r="A25" s="2" t="str">
        <x:v>N/A for 2024 returns/growth: common opening 2023 inputs not extracted. Context rows 20-23 are excluded from headline ranking.</x:v>
      </x:c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2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 ht="2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 ht="2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 ht="2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 ht="2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 ht="2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 ht="2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 ht="2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 ht="2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 ht="2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 ht="2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 ht="2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 ht="2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 ht="2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 ht="2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 ht="2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 ht="2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 ht="2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 ht="2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 ht="2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 ht="2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 ht="2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 ht="2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 ht="2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 ht="2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 ht="2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 ht="2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 ht="2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 ht="2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 ht="2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 ht="2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 ht="2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  <x:row r="86" ht="2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</x:row>
    <x:row r="87" ht="2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</x:row>
    <x:row r="88" ht="2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</x:row>
    <x:row r="89" ht="2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</x:row>
    <x:row r="90" ht="2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</x:row>
  </x:sheetData>
  <x:pageMargins left="0.7" right="0.7" top="0.75" bottom="0.75" header="0.3" footer="0.3"/>
  <x:pageSetup paperSize="9" orientation="landscape" fitToWidth="1" fitToHeight="0"/>
</x:worksheet>
</file>

<file path=xl/worksheets/sheet5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48" hidden="0" customWidth="1"/>
    <x:col min="3" max="3" width="22" hidden="0" customWidth="1"/>
    <x:col min="4" max="4" width="20" hidden="0" customWidth="1"/>
    <x:col min="5" max="5" width="17" hidden="0" customWidth="1"/>
    <x:col min="6" max="6" width="10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9" customHeight="1">
      <x:c r="A2" s="3" t="str">
        <x:v>Validation checks</x:v>
      </x:c>
      <x:c r="B2" s="3"/>
      <x:c r="C2" s="3"/>
      <x:c r="D2" s="3"/>
      <x:c r="E2" s="3"/>
      <x:c r="F2" s="3"/>
      <x:c r="G2" s="2"/>
      <x:c r="H2" s="2"/>
      <x:c r="I2" s="2"/>
      <x:c r="J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0" customHeight="1">
      <x:c r="A4" s="8" t="str">
        <x:v>Institution / period</x:v>
      </x:c>
      <x:c r="B4" s="8" t="str">
        <x:v>Check</x:v>
      </x:c>
      <x:c r="C4" s="8" t="str">
        <x:v>Diagnostic</x:v>
      </x:c>
      <x:c r="D4" s="31" t="str">
        <x:v>Status</x:v>
      </x:c>
      <x:c r="E4" s="8" t="str">
        <x:v>Tolerance</x:v>
      </x:c>
      <x:c r="F4" s="31" t="str">
        <x:v>Explanation</x:v>
      </x:c>
      <x:c r="G4" s="2"/>
      <x:c r="H4" s="2"/>
      <x:c r="I4" s="2"/>
      <x:c r="J4" s="2"/>
    </x:row>
    <x:row r="5" ht="44" customHeight="1">
      <x:c r="A5" s="2" t="str">
        <x:v>BOG 2024</x:v>
      </x:c>
      <x:c r="B5" s="2" t="str">
        <x:v>Assets minus liabilities and equity</x:v>
      </x:c>
      <x:c r="C5" s="22" t="n">
        <x:f>IF(AND(COUNT(Raw_Data!D5,Raw_Data!D6,Raw_Data!D7)=3,Raw_Data!D5&gt;0),Raw_Data!D5-Raw_Data!D6-Raw_Data!D7,"N/A")</x:f>
        <x:v>0</x:v>
      </x:c>
      <x:c r="D5" s="28" t="str">
        <x:f>IF(ISNUMBER(C5),IF(ABS(C5)&lt;=E5,"PASS","ERROR"),"UNTESTED")</x:f>
        <x:v>PASS</x:v>
      </x:c>
      <x:c r="E5" s="21" t="n">
        <x:v>1</x:v>
      </x:c>
      <x:c r="F5" s="29" t="str">
        <x:v>GEL thousands. Tests extracted totals, not every balance-sheet component.</x:v>
      </x:c>
      <x:c r="G5" s="2"/>
      <x:c r="H5" s="2"/>
      <x:c r="I5" s="2"/>
      <x:c r="J5" s="2"/>
    </x:row>
    <x:row r="6" ht="44" customHeight="1">
      <x:c r="A6" s="2" t="str">
        <x:v>BOG 2024</x:v>
      </x:c>
      <x:c r="B6" s="2" t="str">
        <x:v>Required core numeric inputs</x:v>
      </x:c>
      <x:c r="C6" s="22" t="n">
        <x:f>COUNT(Raw_Data!D5,Raw_Data!D6,Raw_Data!D7,Raw_Data!D8,Raw_Data!D9,Raw_Data!D10,Raw_Data!D11,Raw_Data!D12,Raw_Data!D15,Raw_Data!D16,Raw_Data!D17,Raw_Data!D18)</x:f>
        <x:v>12</x:v>
      </x:c>
      <x:c r="D6" s="28" t="str">
        <x:f>IF(C6=E6,"PASS","ERROR")</x:f>
        <x:v>PASS</x:v>
      </x:c>
      <x:c r="E6" s="21" t="n">
        <x:v>12</x:v>
      </x:c>
      <x:c r="F6" s="29" t="str">
        <x:v>Numeric completeness, including a true zero as numeric. Denominator checks run separately.</x:v>
      </x:c>
      <x:c r="G6" s="2"/>
      <x:c r="H6" s="2"/>
      <x:c r="I6" s="2"/>
      <x:c r="J6" s="2"/>
    </x:row>
    <x:row r="7" ht="44" customHeight="1">
      <x:c r="A7" s="2" t="str">
        <x:v>BOG 2024</x:v>
      </x:c>
      <x:c r="B7" s="2" t="str">
        <x:v>Positive ratio denominators</x:v>
      </x:c>
      <x:c r="C7" s="22" t="n">
        <x:f>IF(AND(Raw_Data!D5&gt;0,Raw_Data!D7&gt;0,Raw_Data!D9&gt;0,Raw_Data!D10&gt;0,Raw_Data!D12&gt;0,Raw_Data!D16&gt;0),1,0)</x:f>
        <x:v>1</x:v>
      </x:c>
      <x:c r="D7" s="28" t="str">
        <x:f>IF(C7=1,"PASS","ERROR")</x:f>
        <x:v>PASS</x:v>
      </x:c>
      <x:c r="E7" s="21" t="n">
        <x:v>1</x:v>
      </x:c>
      <x:c r="F7" s="29" t="str">
        <x:v>Assets, equity, loans, funding, income and RWA must be positive for this dataset.</x:v>
      </x:c>
      <x:c r="G7" s="2"/>
      <x:c r="H7" s="2"/>
      <x:c r="I7" s="2"/>
      <x:c r="J7" s="2"/>
    </x:row>
    <x:row r="8" ht="44" customHeight="1">
      <x:c r="A8" s="2" t="str">
        <x:v>BOG 2024</x:v>
      </x:c>
      <x:c r="B8" s="2" t="str">
        <x:v>Capital ratios stored as decimals</x:v>
      </x:c>
      <x:c r="C8" s="22" t="n">
        <x:f>IF(AND(Raw_Data!D17&gt;0,Raw_Data!D17&lt;1,Raw_Data!D18&gt;0,Raw_Data!D18&lt;1),1,0)</x:f>
        <x:v>1</x:v>
      </x:c>
      <x:c r="D8" s="28" t="str">
        <x:f>IF(C8=1,"PASS","ERROR")</x:f>
        <x:v>PASS</x:v>
      </x:c>
      <x:c r="E8" s="21" t="n">
        <x:v>1</x:v>
      </x:c>
      <x:c r="F8" s="29" t="str">
        <x:v>A value of 22 instead of 0.22 triggers an error. Plausibility check, not proof of source accuracy.</x:v>
      </x:c>
      <x:c r="G8" s="2"/>
      <x:c r="H8" s="2"/>
      <x:c r="I8" s="2"/>
      <x:c r="J8" s="2"/>
    </x:row>
    <x:row r="9" ht="44" customHeight="1">
      <x:c r="A9" s="2" t="str">
        <x:v>BOG 2024</x:v>
      </x:c>
      <x:c r="B9" s="2" t="str">
        <x:v>Calculated CAR minus reported CAR</x:v>
      </x:c>
      <x:c r="C9" s="22" t="n">
        <x:f>Ratio_Calculations!B16-Raw_Data!D17</x:f>
        <x:v>-0.0002399556639027245</x:v>
      </x:c>
      <x:c r="D9" s="28" t="str">
        <x:f>IF(ISNUMBER(C9),IF(ABS(C9)&lt;=E9,"PASS","ERROR"),"UNTESTED")</x:f>
        <x:v>PASS</x:v>
      </x:c>
      <x:c r="E9" s="21" t="n">
        <x:v>0.0005</x:v>
      </x:c>
      <x:c r="F9" s="29" t="str">
        <x:v>Decimal difference. Tolerance 0.05 percentage point matches rounding to one decimal percent.</x:v>
      </x:c>
      <x:c r="G9" s="2"/>
      <x:c r="H9" s="2"/>
      <x:c r="I9" s="2"/>
      <x:c r="J9" s="2"/>
    </x:row>
    <x:row r="10" ht="44" customHeight="1">
      <x:c r="A10" s="2" t="str">
        <x:v>BOG 2025</x:v>
      </x:c>
      <x:c r="B10" s="2" t="str">
        <x:v>Assets minus liabilities and equity</x:v>
      </x:c>
      <x:c r="C10" s="22" t="n">
        <x:f>IF(AND(COUNT(Raw_Data!E5,Raw_Data!E6,Raw_Data!E7)=3,Raw_Data!E5&gt;0),Raw_Data!E5-Raw_Data!E6-Raw_Data!E7,"N/A")</x:f>
        <x:v>0</x:v>
      </x:c>
      <x:c r="D10" s="28" t="str">
        <x:f>IF(ISNUMBER(C10),IF(ABS(C10)&lt;=E10,"PASS","ERROR"),"UNTESTED")</x:f>
        <x:v>PASS</x:v>
      </x:c>
      <x:c r="E10" s="21" t="n">
        <x:v>1</x:v>
      </x:c>
      <x:c r="F10" s="29" t="str">
        <x:v>GEL thousands. Tests extracted totals, not every balance-sheet component.</x:v>
      </x:c>
      <x:c r="G10" s="2"/>
      <x:c r="H10" s="2"/>
      <x:c r="I10" s="2"/>
      <x:c r="J10" s="2"/>
    </x:row>
    <x:row r="11" ht="44" customHeight="1">
      <x:c r="A11" s="2" t="str">
        <x:v>BOG 2025</x:v>
      </x:c>
      <x:c r="B11" s="2" t="str">
        <x:v>Required core numeric inputs</x:v>
      </x:c>
      <x:c r="C11" s="22" t="n">
        <x:f>COUNT(Raw_Data!E5,Raw_Data!E6,Raw_Data!E7,Raw_Data!E8,Raw_Data!E9,Raw_Data!E10,Raw_Data!E11,Raw_Data!E12,Raw_Data!E15,Raw_Data!E16,Raw_Data!E17,Raw_Data!E18)</x:f>
        <x:v>12</x:v>
      </x:c>
      <x:c r="D11" s="28" t="str">
        <x:f>IF(C11=E11,"PASS","ERROR")</x:f>
        <x:v>PASS</x:v>
      </x:c>
      <x:c r="E11" s="21" t="n">
        <x:v>12</x:v>
      </x:c>
      <x:c r="F11" s="29" t="str">
        <x:v>Numeric completeness, including a true zero as numeric. Denominator checks run separately.</x:v>
      </x:c>
      <x:c r="G11" s="2"/>
      <x:c r="H11" s="2"/>
      <x:c r="I11" s="2"/>
      <x:c r="J11" s="2"/>
    </x:row>
    <x:row r="12" ht="44" customHeight="1">
      <x:c r="A12" s="2" t="str">
        <x:v>BOG 2025</x:v>
      </x:c>
      <x:c r="B12" s="2" t="str">
        <x:v>Positive ratio denominators</x:v>
      </x:c>
      <x:c r="C12" s="22" t="n">
        <x:f>IF(AND(Raw_Data!E5&gt;0,Raw_Data!E7&gt;0,Raw_Data!E9&gt;0,Raw_Data!E10&gt;0,Raw_Data!E12&gt;0,Raw_Data!E16&gt;0),1,0)</x:f>
        <x:v>1</x:v>
      </x:c>
      <x:c r="D12" s="28" t="str">
        <x:f>IF(C12=1,"PASS","ERROR")</x:f>
        <x:v>PASS</x:v>
      </x:c>
      <x:c r="E12" s="21" t="n">
        <x:v>1</x:v>
      </x:c>
      <x:c r="F12" s="29" t="str">
        <x:v>Assets, equity, loans, funding, income and RWA must be positive for this dataset.</x:v>
      </x:c>
      <x:c r="G12" s="2"/>
      <x:c r="H12" s="2"/>
      <x:c r="I12" s="2"/>
      <x:c r="J12" s="2"/>
    </x:row>
    <x:row r="13" ht="44" customHeight="1">
      <x:c r="A13" s="2" t="str">
        <x:v>BOG 2025</x:v>
      </x:c>
      <x:c r="B13" s="2" t="str">
        <x:v>Capital ratios stored as decimals</x:v>
      </x:c>
      <x:c r="C13" s="22" t="n">
        <x:f>IF(AND(Raw_Data!E17&gt;0,Raw_Data!E17&lt;1,Raw_Data!E18&gt;0,Raw_Data!E18&lt;1),1,0)</x:f>
        <x:v>1</x:v>
      </x:c>
      <x:c r="D13" s="28" t="str">
        <x:f>IF(C13=1,"PASS","ERROR")</x:f>
        <x:v>PASS</x:v>
      </x:c>
      <x:c r="E13" s="21" t="n">
        <x:v>1</x:v>
      </x:c>
      <x:c r="F13" s="29" t="str">
        <x:v>A value of 22 instead of 0.22 triggers an error. Plausibility check, not proof of source accuracy.</x:v>
      </x:c>
      <x:c r="G13" s="2"/>
      <x:c r="H13" s="2"/>
      <x:c r="I13" s="2"/>
      <x:c r="J13" s="2"/>
    </x:row>
    <x:row r="14" ht="44" customHeight="1">
      <x:c r="A14" s="2" t="str">
        <x:v>BOG 2025</x:v>
      </x:c>
      <x:c r="B14" s="2" t="str">
        <x:v>Calculated CAR minus reported CAR</x:v>
      </x:c>
      <x:c r="C14" s="22" t="n">
        <x:f>Ratio_Calculations!C16-Raw_Data!E17</x:f>
        <x:v>0.0003774537816990109</x:v>
      </x:c>
      <x:c r="D14" s="28" t="str">
        <x:f>IF(ISNUMBER(C14),IF(ABS(C14)&lt;=E14,"PASS","ERROR"),"UNTESTED")</x:f>
        <x:v>PASS</x:v>
      </x:c>
      <x:c r="E14" s="21" t="n">
        <x:v>0.0005</x:v>
      </x:c>
      <x:c r="F14" s="29" t="str">
        <x:v>Decimal difference. Tolerance 0.05 percentage point matches rounding to one decimal percent.</x:v>
      </x:c>
      <x:c r="G14" s="2"/>
      <x:c r="H14" s="2"/>
      <x:c r="I14" s="2"/>
      <x:c r="J14" s="2"/>
    </x:row>
    <x:row r="15" ht="44" customHeight="1">
      <x:c r="A15" s="2" t="str">
        <x:v>TBC 2024</x:v>
      </x:c>
      <x:c r="B15" s="2" t="str">
        <x:v>Assets minus liabilities and equity</x:v>
      </x:c>
      <x:c r="C15" s="22" t="n">
        <x:f>IF(AND(COUNT(Raw_Data!F5,Raw_Data!F6,Raw_Data!F7)=3,Raw_Data!F5&gt;0),Raw_Data!F5-Raw_Data!F6-Raw_Data!F7,"N/A")</x:f>
        <x:v>0</x:v>
      </x:c>
      <x:c r="D15" s="28" t="str">
        <x:f>IF(ISNUMBER(C15),IF(ABS(C15)&lt;=E15,"PASS","ERROR"),"UNTESTED")</x:f>
        <x:v>PASS</x:v>
      </x:c>
      <x:c r="E15" s="21" t="n">
        <x:v>1</x:v>
      </x:c>
      <x:c r="F15" s="29" t="str">
        <x:v>GEL thousands. Tests extracted totals, not every balance-sheet component.</x:v>
      </x:c>
      <x:c r="G15" s="2"/>
      <x:c r="H15" s="2"/>
      <x:c r="I15" s="2"/>
      <x:c r="J15" s="2"/>
    </x:row>
    <x:row r="16" ht="44" customHeight="1">
      <x:c r="A16" s="2" t="str">
        <x:v>TBC 2024</x:v>
      </x:c>
      <x:c r="B16" s="2" t="str">
        <x:v>Required core numeric inputs</x:v>
      </x:c>
      <x:c r="C16" s="22" t="n">
        <x:f>COUNT(Raw_Data!F5,Raw_Data!F6,Raw_Data!F7,Raw_Data!F8,Raw_Data!F9,Raw_Data!F10,Raw_Data!F11,Raw_Data!F12,Raw_Data!F15,Raw_Data!F16,Raw_Data!F17,Raw_Data!F18)</x:f>
        <x:v>12</x:v>
      </x:c>
      <x:c r="D16" s="28" t="str">
        <x:f>IF(C16=E16,"PASS","ERROR")</x:f>
        <x:v>PASS</x:v>
      </x:c>
      <x:c r="E16" s="21" t="n">
        <x:v>12</x:v>
      </x:c>
      <x:c r="F16" s="29" t="str">
        <x:v>Numeric completeness, including a true zero as numeric. Denominator checks run separately.</x:v>
      </x:c>
      <x:c r="G16" s="2"/>
      <x:c r="H16" s="2"/>
      <x:c r="I16" s="2"/>
      <x:c r="J16" s="2"/>
    </x:row>
    <x:row r="17" ht="44" customHeight="1">
      <x:c r="A17" s="2" t="str">
        <x:v>TBC 2024</x:v>
      </x:c>
      <x:c r="B17" s="2" t="str">
        <x:v>Positive ratio denominators</x:v>
      </x:c>
      <x:c r="C17" s="22" t="n">
        <x:f>IF(AND(Raw_Data!F5&gt;0,Raw_Data!F7&gt;0,Raw_Data!F9&gt;0,Raw_Data!F10&gt;0,Raw_Data!F12&gt;0,Raw_Data!F16&gt;0),1,0)</x:f>
        <x:v>1</x:v>
      </x:c>
      <x:c r="D17" s="28" t="str">
        <x:f>IF(C17=1,"PASS","ERROR")</x:f>
        <x:v>PASS</x:v>
      </x:c>
      <x:c r="E17" s="21" t="n">
        <x:v>1</x:v>
      </x:c>
      <x:c r="F17" s="29" t="str">
        <x:v>Assets, equity, loans, funding, income and RWA must be positive for this dataset.</x:v>
      </x:c>
      <x:c r="G17" s="2"/>
      <x:c r="H17" s="2"/>
      <x:c r="I17" s="2"/>
      <x:c r="J17" s="2"/>
    </x:row>
    <x:row r="18" ht="44" customHeight="1">
      <x:c r="A18" s="2" t="str">
        <x:v>TBC 2024</x:v>
      </x:c>
      <x:c r="B18" s="2" t="str">
        <x:v>Capital ratios stored as decimals</x:v>
      </x:c>
      <x:c r="C18" s="22" t="n">
        <x:f>IF(AND(Raw_Data!F17&gt;0,Raw_Data!F17&lt;1,Raw_Data!F18&gt;0,Raw_Data!F18&lt;1),1,0)</x:f>
        <x:v>1</x:v>
      </x:c>
      <x:c r="D18" s="28" t="str">
        <x:f>IF(C18=1,"PASS","ERROR")</x:f>
        <x:v>PASS</x:v>
      </x:c>
      <x:c r="E18" s="21" t="n">
        <x:v>1</x:v>
      </x:c>
      <x:c r="F18" s="29" t="str">
        <x:v>A value of 22 instead of 0.22 triggers an error. Plausibility check, not proof of source accuracy.</x:v>
      </x:c>
      <x:c r="G18" s="2"/>
      <x:c r="H18" s="2"/>
      <x:c r="I18" s="2"/>
      <x:c r="J18" s="2"/>
    </x:row>
    <x:row r="19" ht="44" customHeight="1">
      <x:c r="A19" s="2" t="str">
        <x:v>TBC 2024</x:v>
      </x:c>
      <x:c r="B19" s="2" t="str">
        <x:v>Calculated CAR minus reported CAR</x:v>
      </x:c>
      <x:c r="C19" s="22" t="n">
        <x:f>Ratio_Calculations!D16-Raw_Data!F17</x:f>
        <x:v>-0.00009118606538857654</x:v>
      </x:c>
      <x:c r="D19" s="28" t="str">
        <x:f>IF(ISNUMBER(C19),IF(ABS(C19)&lt;=E19,"PASS","ERROR"),"UNTESTED")</x:f>
        <x:v>PASS</x:v>
      </x:c>
      <x:c r="E19" s="21" t="n">
        <x:v>0.0005</x:v>
      </x:c>
      <x:c r="F19" s="29" t="str">
        <x:v>Decimal difference. Tolerance 0.05 percentage point matches rounding to one decimal percent.</x:v>
      </x:c>
      <x:c r="G19" s="2"/>
      <x:c r="H19" s="2"/>
      <x:c r="I19" s="2"/>
      <x:c r="J19" s="2"/>
    </x:row>
    <x:row r="20" ht="44" customHeight="1">
      <x:c r="A20" s="2" t="str">
        <x:v>TBC 2025</x:v>
      </x:c>
      <x:c r="B20" s="2" t="str">
        <x:v>Assets minus liabilities and equity</x:v>
      </x:c>
      <x:c r="C20" s="22" t="n">
        <x:f>IF(AND(COUNT(Raw_Data!G5,Raw_Data!G6,Raw_Data!G7)=3,Raw_Data!G5&gt;0),Raw_Data!G5-Raw_Data!G6-Raw_Data!G7,"N/A")</x:f>
        <x:v>0</x:v>
      </x:c>
      <x:c r="D20" s="28" t="str">
        <x:f>IF(ISNUMBER(C20),IF(ABS(C20)&lt;=E20,"PASS","ERROR"),"UNTESTED")</x:f>
        <x:v>PASS</x:v>
      </x:c>
      <x:c r="E20" s="21" t="n">
        <x:v>1</x:v>
      </x:c>
      <x:c r="F20" s="29" t="str">
        <x:v>GEL thousands. Tests extracted totals, not every balance-sheet component.</x:v>
      </x:c>
      <x:c r="G20" s="2"/>
      <x:c r="H20" s="2"/>
      <x:c r="I20" s="2"/>
      <x:c r="J20" s="2"/>
    </x:row>
    <x:row r="21" ht="44" customHeight="1">
      <x:c r="A21" s="2" t="str">
        <x:v>TBC 2025</x:v>
      </x:c>
      <x:c r="B21" s="2" t="str">
        <x:v>Required core numeric inputs</x:v>
      </x:c>
      <x:c r="C21" s="22" t="n">
        <x:f>COUNT(Raw_Data!G5,Raw_Data!G6,Raw_Data!G7,Raw_Data!G8,Raw_Data!G9,Raw_Data!G10,Raw_Data!G11,Raw_Data!G12,Raw_Data!G15,Raw_Data!G16,Raw_Data!G17,Raw_Data!G18)</x:f>
        <x:v>12</x:v>
      </x:c>
      <x:c r="D21" s="28" t="str">
        <x:f>IF(C21=E21,"PASS","ERROR")</x:f>
        <x:v>PASS</x:v>
      </x:c>
      <x:c r="E21" s="21" t="n">
        <x:v>12</x:v>
      </x:c>
      <x:c r="F21" s="29" t="str">
        <x:v>Numeric completeness, including a true zero as numeric. Denominator checks run separately.</x:v>
      </x:c>
      <x:c r="G21" s="2"/>
      <x:c r="H21" s="2"/>
      <x:c r="I21" s="2"/>
      <x:c r="J21" s="2"/>
    </x:row>
    <x:row r="22" ht="44" customHeight="1">
      <x:c r="A22" s="2" t="str">
        <x:v>TBC 2025</x:v>
      </x:c>
      <x:c r="B22" s="2" t="str">
        <x:v>Positive ratio denominators</x:v>
      </x:c>
      <x:c r="C22" s="22" t="n">
        <x:f>IF(AND(Raw_Data!G5&gt;0,Raw_Data!G7&gt;0,Raw_Data!G9&gt;0,Raw_Data!G10&gt;0,Raw_Data!G12&gt;0,Raw_Data!G16&gt;0),1,0)</x:f>
        <x:v>1</x:v>
      </x:c>
      <x:c r="D22" s="28" t="str">
        <x:f>IF(C22=1,"PASS","ERROR")</x:f>
        <x:v>PASS</x:v>
      </x:c>
      <x:c r="E22" s="21" t="n">
        <x:v>1</x:v>
      </x:c>
      <x:c r="F22" s="29" t="str">
        <x:v>Assets, equity, loans, funding, income and RWA must be positive for this dataset.</x:v>
      </x:c>
      <x:c r="G22" s="2"/>
      <x:c r="H22" s="2"/>
      <x:c r="I22" s="2"/>
      <x:c r="J22" s="2"/>
    </x:row>
    <x:row r="23" ht="44" customHeight="1">
      <x:c r="A23" s="2" t="str">
        <x:v>TBC 2025</x:v>
      </x:c>
      <x:c r="B23" s="2" t="str">
        <x:v>Capital ratios stored as decimals</x:v>
      </x:c>
      <x:c r="C23" s="22" t="n">
        <x:f>IF(AND(Raw_Data!G17&gt;0,Raw_Data!G17&lt;1,Raw_Data!G18&gt;0,Raw_Data!G18&lt;1),1,0)</x:f>
        <x:v>1</x:v>
      </x:c>
      <x:c r="D23" s="28" t="str">
        <x:f>IF(C23=1,"PASS","ERROR")</x:f>
        <x:v>PASS</x:v>
      </x:c>
      <x:c r="E23" s="21" t="n">
        <x:v>1</x:v>
      </x:c>
      <x:c r="F23" s="29" t="str">
        <x:v>A value of 22 instead of 0.22 triggers an error. Plausibility check, not proof of source accuracy.</x:v>
      </x:c>
      <x:c r="G23" s="2"/>
      <x:c r="H23" s="2"/>
      <x:c r="I23" s="2"/>
      <x:c r="J23" s="2"/>
    </x:row>
    <x:row r="24" ht="44" customHeight="1">
      <x:c r="A24" s="2" t="str">
        <x:v>TBC 2025</x:v>
      </x:c>
      <x:c r="B24" s="2" t="str">
        <x:v>Calculated CAR minus reported CAR</x:v>
      </x:c>
      <x:c r="C24" s="22" t="n">
        <x:f>Ratio_Calculations!E16-Raw_Data!G17</x:f>
        <x:v>0.00021025405040364653</x:v>
      </x:c>
      <x:c r="D24" s="28" t="str">
        <x:f>IF(ISNUMBER(C24),IF(ABS(C24)&lt;=E24,"PASS","ERROR"),"UNTESTED")</x:f>
        <x:v>PASS</x:v>
      </x:c>
      <x:c r="E24" s="21" t="n">
        <x:v>0.0005</x:v>
      </x:c>
      <x:c r="F24" s="29" t="str">
        <x:v>Decimal difference. Tolerance 0.05 percentage point matches rounding to one decimal percent.</x:v>
      </x:c>
      <x:c r="G24" s="2"/>
      <x:c r="H24" s="2"/>
      <x:c r="I24" s="2"/>
      <x:c r="J24" s="2"/>
    </x:row>
    <x:row r="25" ht="44" customHeight="1">
      <x:c r="A25" s="2" t="str">
        <x:v>BOG 2024</x:v>
      </x:c>
      <x:c r="B25" s="2" t="str">
        <x:v>Customer loans + factoring + leases tie</x:v>
      </x:c>
      <x:c r="C25" s="22" t="n">
        <x:f>Raw_Data!D9+Raw_Data!D20+Raw_Data!D21-Raw_Data!D19</x:f>
        <x:v>0</x:v>
      </x:c>
      <x:c r="D25" s="28" t="str">
        <x:f>IF(ABS(C25)&lt;=E25,"PASS","ERROR")</x:f>
        <x:v>PASS</x:v>
      </x:c>
      <x:c r="E25" s="21" t="n">
        <x:v>1</x:v>
      </x:c>
      <x:c r="F25" s="29" t="str">
        <x:v>GEL thousands. Confirms broader lending line excluded correctly from core customer loan ratios.</x:v>
      </x:c>
      <x:c r="G25" s="2"/>
      <x:c r="H25" s="2"/>
      <x:c r="I25" s="2"/>
      <x:c r="J25" s="2"/>
    </x:row>
    <x:row r="26" ht="44" customHeight="1">
      <x:c r="A26" s="2" t="str">
        <x:v>BOG 2025</x:v>
      </x:c>
      <x:c r="B26" s="2" t="str">
        <x:v>Customer loans + factoring + leases tie</x:v>
      </x:c>
      <x:c r="C26" s="22" t="n">
        <x:f>Raw_Data!E9+Raw_Data!E20+Raw_Data!E21-Raw_Data!E19</x:f>
        <x:v>0</x:v>
      </x:c>
      <x:c r="D26" s="28" t="str">
        <x:f>IF(ABS(C26)&lt;=E26,"PASS","ERROR")</x:f>
        <x:v>PASS</x:v>
      </x:c>
      <x:c r="E26" s="21" t="n">
        <x:v>1</x:v>
      </x:c>
      <x:c r="F26" s="29" t="str">
        <x:v>GEL thousands. Confirms broader lending line excluded correctly from core customer loan ratios.</x:v>
      </x:c>
      <x:c r="G26" s="2"/>
      <x:c r="H26" s="2"/>
      <x:c r="I26" s="2"/>
      <x:c r="J26" s="2"/>
    </x:row>
    <x:row r="27" ht="44" customHeight="1">
      <x:c r="A27" s="2" t="str">
        <x:v>TBC 2024</x:v>
      </x:c>
      <x:c r="B27" s="2" t="str">
        <x:v>Loan note net minus separate-bank loans</x:v>
      </x:c>
      <x:c r="C27" s="22" t="n">
        <x:f>Raw_Data!F22-Raw_Data!F23-Raw_Data!F9</x:f>
        <x:v>-1245</x:v>
      </x:c>
      <x:c r="D27" s="28" t="str">
        <x:f>IF(ABS(C27)&lt;=E27,"MATCH ONLY","REVIEW")</x:f>
        <x:v>REVIEW</x:v>
      </x:c>
      <x:c r="E27" s="21" t="n">
        <x:v>1</x:v>
      </x:c>
      <x:c r="F27" s="29" t="str">
        <x:v>2024 difference is a scope reconciliation item, not an arithmetic error. 2025 match alone does not prove identical portfolios.</x:v>
      </x:c>
      <x:c r="G27" s="2"/>
      <x:c r="H27" s="2"/>
      <x:c r="I27" s="2"/>
      <x:c r="J27" s="2"/>
    </x:row>
    <x:row r="28" ht="44" customHeight="1">
      <x:c r="A28" s="2" t="str">
        <x:v>TBC 2025</x:v>
      </x:c>
      <x:c r="B28" s="2" t="str">
        <x:v>Loan note net minus separate-bank loans</x:v>
      </x:c>
      <x:c r="C28" s="22" t="n">
        <x:f>Raw_Data!G22-Raw_Data!G23-Raw_Data!G9</x:f>
        <x:v>0</x:v>
      </x:c>
      <x:c r="D28" s="28" t="str">
        <x:f>IF(ABS(C28)&lt;=E28,"MATCH ONLY","REVIEW")</x:f>
        <x:v>MATCH ONLY</x:v>
      </x:c>
      <x:c r="E28" s="21" t="n">
        <x:v>1</x:v>
      </x:c>
      <x:c r="F28" s="29" t="str">
        <x:v>2024 difference is a scope reconciliation item, not an arithmetic error. 2025 match alone does not prove identical portfolios.</x:v>
      </x:c>
      <x:c r="G28" s="2"/>
      <x:c r="H28" s="2"/>
      <x:c r="I28" s="2"/>
      <x:c r="J28" s="2"/>
    </x:row>
    <x:row r="29" ht="44" customHeight="1">
      <x:c r="A29" s="2" t="str">
        <x:v>Both 2025</x:v>
      </x:c>
      <x:c r="B29" s="2" t="str">
        <x:v>Period / scope metadata consistency</x:v>
      </x:c>
      <x:c r="C29" s="22" t="n">
        <x:f>IF(AND(Raw_Data!E4="BOG 2025",Raw_Data!G4="TBC 2025"),1,0)</x:f>
        <x:v>1</x:v>
      </x:c>
      <x:c r="D29" s="28" t="str">
        <x:f>IF(C29=1,"PASS","ERROR")</x:f>
        <x:v>PASS</x:v>
      </x:c>
      <x:c r="E29" s="21" t="n">
        <x:v>1</x:v>
      </x:c>
      <x:c r="F29" s="29" t="str">
        <x:v>Checks header alignment only. Statement headings, units and scope are not tested automatically.</x:v>
      </x:c>
      <x:c r="G29" s="2"/>
      <x:c r="H29" s="2"/>
      <x:c r="I29" s="2"/>
      <x:c r="J29" s="2"/>
    </x:row>
    <x:row r="30" ht="44" customHeight="1">
      <x:c r="A30" s="2" t="str">
        <x:v>Both 2025</x:v>
      </x:c>
      <x:c r="B30" s="2" t="str">
        <x:v>Funding definition parity</x:v>
      </x:c>
      <x:c r="C30" s="22" t="n">
        <x:f>0</x:f>
        <x:v>0</x:v>
      </x:c>
      <x:c r="D30" s="28" t="str">
        <x:f>"REVIEW"</x:f>
        <x:v>REVIEW</x:v>
      </x:c>
      <x:c r="E30" s="21" t="n">
        <x:v>0</x:v>
      </x:c>
      <x:c r="F30" s="29" t="str">
        <x:v>BOG deposits and notes versus TBC customer accounts. Definition difference remains even when all calculations pass.</x:v>
      </x:c>
      <x:c r="G30" s="2"/>
      <x:c r="H30" s="2"/>
      <x:c r="I30" s="2"/>
      <x:c r="J30" s="2"/>
    </x:row>
    <x:row r="31" ht="44" customHeight="1">
      <x:c r="A31" s="2" t="str">
        <x:v>TBC 2025</x:v>
      </x:c>
      <x:c r="B31" s="2" t="str">
        <x:v>Calculated bank ROA minus reported group</x:v>
      </x:c>
      <x:c r="C31" s="22" t="n">
        <x:f>Ratio_Calculations!E11-Raw_Data!G25</x:f>
        <x:v>-0.0014623383894520267</x:v>
      </x:c>
      <x:c r="D31" s="28" t="str">
        <x:f>"EXPLAINED"</x:f>
        <x:v>EXPLAINED</x:v>
      </x:c>
      <x:c r="E31" s="21"/>
      <x:c r="F31" s="29" t="str">
        <x:v>Different entity scope and averaging frequency. Difference is not a failed same-definition reconciliation.</x:v>
      </x:c>
      <x:c r="G31" s="2"/>
      <x:c r="H31" s="2"/>
      <x:c r="I31" s="2"/>
      <x:c r="J31" s="2"/>
    </x:row>
    <x:row r="32" ht="44" customHeight="1">
      <x:c r="A32" s="2" t="str">
        <x:v>TBC 2025</x:v>
      </x:c>
      <x:c r="B32" s="2" t="str">
        <x:v>Calculated bank ROE minus reported group</x:v>
      </x:c>
      <x:c r="C32" s="22" t="n">
        <x:f>Ratio_Calculations!E12-Raw_Data!G26</x:f>
        <x:v>-0.005483981717309183</x:v>
      </x:c>
      <x:c r="D32" s="28" t="str">
        <x:f>"EXPLAINED"</x:f>
        <x:v>EXPLAINED</x:v>
      </x:c>
      <x:c r="E32" s="21"/>
      <x:c r="F32" s="29" t="str">
        <x:v>Different entity scope, profit attribution and averaging frequency. Do not force a match.</x:v>
      </x:c>
      <x:c r="G32" s="2"/>
      <x:c r="H32" s="2"/>
      <x:c r="I32" s="2"/>
      <x:c r="J32" s="2"/>
    </x:row>
    <x:row r="33" ht="44" customHeight="1">
      <x:c r="A33" s="2" t="str">
        <x:v>TBC 2025</x:v>
      </x:c>
      <x:c r="B33" s="2" t="str">
        <x:v>Calculated bank CIR minus reported group</x:v>
      </x:c>
      <x:c r="C33" s="22" t="n">
        <x:f>Ratio_Calculations!E15-Raw_Data!G27</x:f>
        <x:v>-0.016751821155969848</x:v>
      </x:c>
      <x:c r="D33" s="28" t="str">
        <x:f>"EXPLAINED"</x:f>
        <x:v>EXPLAINED</x:v>
      </x:c>
      <x:c r="E33" s="21"/>
      <x:c r="F33" s="29" t="str">
        <x:v>Different group versus separate-bank scope.</x:v>
      </x:c>
      <x:c r="G33" s="2"/>
      <x:c r="H33" s="2"/>
      <x:c r="I33" s="2"/>
      <x:c r="J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2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 ht="2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 ht="2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 ht="2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 ht="2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 ht="2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 ht="2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 ht="2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 ht="2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 ht="2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 ht="2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 ht="2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 ht="2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 ht="2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 ht="2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 ht="2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 ht="2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 ht="2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 ht="2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 ht="2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 ht="2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 ht="2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 ht="2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 ht="2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 ht="2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 ht="2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 ht="2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 ht="2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 ht="2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 ht="2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 ht="2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 ht="2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  <x:row r="86" ht="2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</x:row>
    <x:row r="87" ht="2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</x:row>
    <x:row r="88" ht="2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</x:row>
    <x:row r="89" ht="2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</x:row>
    <x:row r="90" ht="2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</x:row>
  </x:sheetData>
  <x:conditionalFormatting sqref="D5:D33">
    <x:cfRule type="containsText" dxfId="0" priority="1" operator="containsText" text="ERROR"/>
    <x:cfRule type="containsText" dxfId="1" priority="2" operator="containsText" text="REVIEW"/>
  </x:conditionalFormatting>
  <x:pageMargins left="0.7" right="0.7" top="0.75" bottom="0.75" header="0.3" footer="0.3"/>
  <x:pageSetup paperSize="9" orientation="landscape" fitToWidth="1" fitToHeight="0"/>
</x:worksheet>
</file>

<file path=xl/worksheets/sheet6.xml><?xml version="1.0" encoding="utf-8"?>
<x:worksheet xmlns:x="http://schemas.openxmlformats.org/spreadsheetml/2006/main">
  <x:sheetPr>
    <x:tabColor rgb="FF17324D"/>
    <x:pageSetUpPr fitToPage="1"/>
  </x:sheetPr>
  <x:sheetViews>
    <x:sheetView showGridLines="0" workbookViewId="0"/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7" hidden="0" customWidth="1"/>
    <x:col min="5" max="5" width="9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9" customHeight="1">
      <x:c r="A2" s="3" t="str">
        <x:v>Bank of Georgia and TBC Bank: 2025</x:v>
      </x:c>
      <x:c r="B2" s="3"/>
      <x:c r="C2" s="3"/>
      <x:c r="D2" s="3"/>
      <x:c r="E2" s="3"/>
      <x:c r="F2" s="3"/>
      <x:c r="G2" s="2"/>
      <x:c r="H2" s="2"/>
      <x:c r="I2" s="2"/>
      <x:c r="J2" s="2"/>
    </x:row>
    <x:row r="3" ht="25" customHeight="1">
      <x:c r="A3" s="2" t="str">
        <x:v>Separate-bank IFRS financials. Capital on NBG regulatory basis. Ratios calculated independently.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8" t="str">
        <x:v>Metric</x:v>
      </x:c>
      <x:c r="B5" s="8" t="str">
        <x:v>Bank of Georgia</x:v>
      </x:c>
      <x:c r="C5" s="8" t="str">
        <x:v>TBC Bank</x:v>
      </x:c>
      <x:c r="D5" s="8" t="str">
        <x:v>Gap: BOG - TBC (pp)</x:v>
      </x:c>
      <x:c r="E5" s="31" t="str">
        <x:v>Interpretation / caveat</x:v>
      </x:c>
      <x:c r="F5" s="2"/>
      <x:c r="G5" s="2"/>
      <x:c r="H5" s="2"/>
      <x:c r="I5" s="2"/>
      <x:c r="J5" s="2"/>
    </x:row>
    <x:row r="6" ht="53" customHeight="1">
      <x:c r="A6" s="2" t="str">
        <x:v>ROA</x:v>
      </x:c>
      <x:c r="B6" s="16" t="n">
        <x:f>Ratio_Calculations!C11</x:f>
        <x:v>0.04076544103091756</x:v>
      </x:c>
      <x:c r="C6" s="16" t="n">
        <x:f>Ratio_Calculations!E11</x:f>
        <x:v>0.03353766161054798</x:v>
      </x:c>
      <x:c r="D6" s="24" t="n">
        <x:f>IF(AND(ISNUMBER(B6),ISNUMBER(C6)),(B6-C6)*100,"N/A")</x:f>
        <x:v>0.7227779420369583</x:v>
      </x:c>
      <x:c r="E6" s="29" t="str">
        <x:v>BOG earns more profit per unit of two-point average assets. Portfolio risk and one-off items need review.</x:v>
      </x:c>
      <x:c r="F6" s="2"/>
      <x:c r="G6" s="2"/>
      <x:c r="H6" s="2"/>
      <x:c r="I6" s="2"/>
      <x:c r="J6" s="2"/>
    </x:row>
    <x:row r="7" ht="53" customHeight="1">
      <x:c r="A7" s="2" t="str">
        <x:v>ROE</x:v>
      </x:c>
      <x:c r="B7" s="16" t="n">
        <x:f>Ratio_Calculations!C12</x:f>
        <x:v>0.293116673505873</x:v>
      </x:c>
      <x:c r="C7" s="16" t="n">
        <x:f>Ratio_Calculations!E12</x:f>
        <x:v>0.2335160182826908</x:v>
      </x:c>
      <x:c r="D7" s="24" t="n">
        <x:f>IF(AND(ISNUMBER(B7),ISNUMBER(C7)),(B7-C7)*100,"N/A")</x:f>
        <x:v>5.96006552231822</x:v>
      </x:c>
      <x:c r="E7" s="29" t="str">
        <x:v>Higher BOG equity return is not a credit-safety ranking; leverage and profit quality matter.</x:v>
      </x:c>
      <x:c r="F7" s="2"/>
      <x:c r="G7" s="2"/>
      <x:c r="H7" s="2"/>
      <x:c r="I7" s="2"/>
      <x:c r="J7" s="2"/>
    </x:row>
    <x:row r="8" ht="53" customHeight="1">
      <x:c r="A8" s="2" t="str">
        <x:v>Net customer loan growth</x:v>
      </x:c>
      <x:c r="B8" s="16" t="n">
        <x:f>Ratio_Calculations!C13</x:f>
        <x:v>0.1564336551860377</x:v>
      </x:c>
      <x:c r="C8" s="16" t="n">
        <x:f>Ratio_Calculations!E13</x:f>
        <x:v>0.10043789656354085</x:v>
      </x:c>
      <x:c r="D8" s="24" t="n">
        <x:f>IF(AND(ISNUMBER(B8),ISNUMBER(C8)),(B8-C8)*100,"N/A")</x:f>
        <x:v>5.599575862249684</x:v>
      </x:c>
      <x:c r="E8" s="29" t="str">
        <x:v>BOG net loans grew faster in nominal GEL. FX changes, provisions and mix can affect the change.</x:v>
      </x:c>
      <x:c r="F8" s="2"/>
      <x:c r="G8" s="2"/>
      <x:c r="H8" s="2"/>
      <x:c r="I8" s="2"/>
      <x:c r="J8" s="2"/>
    </x:row>
    <x:row r="9" ht="53" customHeight="1">
      <x:c r="A9" s="2" t="str">
        <x:v>Net loans / customer funding</x:v>
      </x:c>
      <x:c r="B9" s="16" t="n">
        <x:f>Ratio_Calculations!C14</x:f>
        <x:v>0.9902751545425134</x:v>
      </x:c>
      <x:c r="C9" s="16" t="n">
        <x:f>Ratio_Calculations!E14</x:f>
        <x:v>1.083923124726836</x:v>
      </x:c>
      <x:c r="D9" s="24" t="n">
        <x:f>IF(AND(ISNUMBER(B9),ISNUMBER(C9)),(B9-C9)*100,"N/A")</x:f>
        <x:v>-9.364797018432258</x:v>
      </x:c>
      <x:c r="E9" s="29" t="str">
        <x:v>TBC exceeds 100%. Other funding can bridge this; the ratio alone is not a liquidity shortfall. Definitions differ.</x:v>
      </x:c>
      <x:c r="F9" s="2"/>
      <x:c r="G9" s="2"/>
      <x:c r="H9" s="2"/>
      <x:c r="I9" s="2"/>
      <x:c r="J9" s="2"/>
    </x:row>
    <x:row r="10" ht="53" customHeight="1">
      <x:c r="A10" s="2" t="str">
        <x:v>Cost / income</x:v>
      </x:c>
      <x:c r="B10" s="16" t="n">
        <x:f>Ratio_Calculations!C15</x:f>
        <x:v>0.2997217732247002</x:v>
      </x:c>
      <x:c r="C10" s="16" t="n">
        <x:f>Ratio_Calculations!E15</x:f>
        <x:v>0.31424817884403017</x:v>
      </x:c>
      <x:c r="D10" s="24" t="n">
        <x:f>IF(AND(ISNUMBER(B10),ISNUMBER(C10)),(B10-C10)*100,"N/A")</x:f>
        <x:v>-1.452640561932994</x:v>
      </x:c>
      <x:c r="E10" s="29" t="str">
        <x:v>Both near 30%. Source accounting/mix differences limit conclusions about relative efficiency.</x:v>
      </x:c>
      <x:c r="F10" s="2"/>
      <x:c r="G10" s="2"/>
      <x:c r="H10" s="2"/>
      <x:c r="I10" s="2"/>
      <x:c r="J10" s="2"/>
    </x:row>
    <x:row r="11" ht="53" customHeight="1">
      <x:c r="A11" s="2" t="str">
        <x:v>Total regulatory CAR</x:v>
      </x:c>
      <x:c r="B11" s="16" t="n">
        <x:f>Ratio_Calculations!C16</x:f>
        <x:v>0.220377453781699</x:v>
      </x:c>
      <x:c r="C11" s="16" t="n">
        <x:f>Ratio_Calculations!E16</x:f>
        <x:v>0.22521025405040365</x:v>
      </x:c>
      <x:c r="D11" s="24" t="n">
        <x:f>IF(AND(ISNUMBER(B11),ISNUMBER(C11)),(B11-C11)*100,"N/A")</x:f>
        <x:v>-0.483280026870464</x:v>
      </x:c>
      <x:c r="E11" s="29" t="str">
        <x:v>Both exceed disclosed minima. Compare bank-specific headroom, portfolio risk weights and capital quality.</x:v>
      </x:c>
      <x:c r="F11" s="2"/>
      <x:c r="G11" s="2"/>
      <x:c r="H11" s="2"/>
      <x:c r="I11" s="2"/>
      <x:c r="J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44" customHeight="1">
      <x:c r="A13" s="2" t="str">
        <x:v>CAR less minimum (pp)</x:v>
      </x:c>
      <x:c r="B13" s="26" t="n">
        <x:f>Ratio_Calculations!C17*100</x:f>
        <x:v>1.8377453781698998</x:v>
      </x:c>
      <x:c r="C13" s="26" t="n">
        <x:f>Ratio_Calculations!E17*100</x:f>
        <x:v>2.521025405040364</x:v>
      </x:c>
      <x:c r="D13" s="2"/>
      <x:c r="E13" s="29" t="str">
        <x:v>Rounded minimum requirements differ: BOG 20.2%, TBC 20.0%. Not a stress-test surplus.</x:v>
      </x:c>
      <x:c r="F13" s="2"/>
      <x:c r="G13" s="2"/>
      <x:c r="H13" s="2"/>
      <x:c r="I13" s="2"/>
      <x:c r="J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5" customHeight="1">
      <x:c r="A15" s="4" t="str">
        <x:v>Main limitations</x:v>
      </x:c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5" customHeight="1">
      <x:c r="A16" s="2" t="str">
        <x:v>Two-point averages. Different funding labels. Accounting presentation. Unequal verified asset-quality scopes.</x:v>
      </x:c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5" customHeight="1">
      <x:c r="A17" s="2" t="str">
        <x:v>No investment recommendation, credit rating or claim of any relationship with either bank. Country context is historical.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2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 ht="2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 ht="2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 ht="2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 ht="25" customHeight="1">
      <x:c r="A54" s="17" t="str">
        <x:v>Chart data (linked to the table above)</x:v>
      </x:c>
      <x:c r="B54" s="2"/>
      <x:c r="C54" s="2"/>
      <x:c r="D54" s="2"/>
      <x:c r="E54" s="2"/>
      <x:c r="F54" s="2"/>
      <x:c r="G54" s="2"/>
      <x:c r="H54" s="2"/>
      <x:c r="I54" s="2"/>
      <x:c r="J54" s="2"/>
    </x:row>
    <x:row r="55" ht="25" customHeight="1">
      <x:c r="A55" s="2" t="str">
        <x:v>ROA</x:v>
      </x:c>
      <x:c r="B55" s="2" t="str">
        <x:v>Bank of Georgia</x:v>
      </x:c>
      <x:c r="C55" s="2" t="str">
        <x:v>TBC Bank</x:v>
      </x:c>
      <x:c r="D55" s="2"/>
      <x:c r="E55" s="2"/>
      <x:c r="F55" s="2"/>
      <x:c r="G55" s="2"/>
      <x:c r="H55" s="2"/>
      <x:c r="I55" s="2"/>
      <x:c r="J55" s="2"/>
    </x:row>
    <x:row r="56" ht="25" customHeight="1">
      <x:c r="A56" s="2" t="str">
        <x:v>2025</x:v>
      </x:c>
      <x:c r="B56" s="27" t="n">
        <x:f>B6</x:f>
        <x:v>0.04076544103091756</x:v>
      </x:c>
      <x:c r="C56" s="27" t="n">
        <x:f>C6</x:f>
        <x:v>0.03353766161054798</x:v>
      </x:c>
      <x:c r="D56" s="2"/>
      <x:c r="E56" s="2"/>
      <x:c r="F56" s="2"/>
      <x:c r="G56" s="2"/>
      <x:c r="H56" s="2"/>
      <x:c r="I56" s="2"/>
      <x:c r="J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 ht="25" customHeight="1">
      <x:c r="A59" s="2" t="str">
        <x:v>Net loans / customer funding</x:v>
      </x:c>
      <x:c r="B59" s="2" t="str">
        <x:v>Bank of Georgia</x:v>
      </x:c>
      <x:c r="C59" s="2" t="str">
        <x:v>TBC Bank</x:v>
      </x:c>
      <x:c r="D59" s="2"/>
      <x:c r="E59" s="2"/>
      <x:c r="F59" s="2"/>
      <x:c r="G59" s="2"/>
      <x:c r="H59" s="2"/>
      <x:c r="I59" s="2"/>
      <x:c r="J59" s="2"/>
    </x:row>
    <x:row r="60" ht="25" customHeight="1">
      <x:c r="A60" s="2" t="str">
        <x:v>2025</x:v>
      </x:c>
      <x:c r="B60" s="27" t="n">
        <x:f>B9</x:f>
        <x:v>0.9902751545425134</x:v>
      </x:c>
      <x:c r="C60" s="27" t="n">
        <x:f>C9</x:f>
        <x:v>1.083923124726836</x:v>
      </x:c>
      <x:c r="D60" s="2"/>
      <x:c r="E60" s="2"/>
      <x:c r="F60" s="2"/>
      <x:c r="G60" s="2"/>
      <x:c r="H60" s="2"/>
      <x:c r="I60" s="2"/>
      <x:c r="J60" s="2"/>
    </x:row>
    <x:row r="61" ht="2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 ht="2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 ht="25" customHeight="1">
      <x:c r="A63" s="2" t="str">
        <x:v>Total regulatory CAR</x:v>
      </x:c>
      <x:c r="B63" s="2" t="str">
        <x:v>Bank of Georgia</x:v>
      </x:c>
      <x:c r="C63" s="2" t="str">
        <x:v>TBC Bank</x:v>
      </x:c>
      <x:c r="D63" s="2"/>
      <x:c r="E63" s="2"/>
      <x:c r="F63" s="2"/>
      <x:c r="G63" s="2"/>
      <x:c r="H63" s="2"/>
      <x:c r="I63" s="2"/>
      <x:c r="J63" s="2"/>
    </x:row>
    <x:row r="64" ht="25" customHeight="1">
      <x:c r="A64" s="2" t="str">
        <x:v>2025</x:v>
      </x:c>
      <x:c r="B64" s="27" t="n">
        <x:f>B11</x:f>
        <x:v>0.220377453781699</x:v>
      </x:c>
      <x:c r="C64" s="27" t="n">
        <x:f>C11</x:f>
        <x:v>0.22521025405040365</x:v>
      </x:c>
      <x:c r="D64" s="2"/>
      <x:c r="E64" s="2"/>
      <x:c r="F64" s="2"/>
      <x:c r="G64" s="2"/>
      <x:c r="H64" s="2"/>
      <x:c r="I64" s="2"/>
      <x:c r="J64" s="2"/>
    </x:row>
    <x:row r="65" ht="2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 ht="2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 ht="2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 ht="2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 ht="2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 ht="2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 ht="2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 ht="2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 ht="2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 ht="2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 ht="2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 ht="2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 ht="2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 ht="2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 ht="2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 ht="2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 ht="2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 ht="2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 ht="2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 ht="2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 ht="2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  <x:row r="86" ht="2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</x:row>
    <x:row r="87" ht="2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</x:row>
    <x:row r="88" ht="2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</x:row>
    <x:row r="89" ht="2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</x:row>
    <x:row r="90" ht="2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</x:row>
  </x:sheetData>
  <x:pageMargins left="0.7" right="0.7" top="0.75" bottom="0.75" header="0.3" footer="0.3"/>
  <x:pageSetup paperSize="9" orientation="landscape" fitToWidth="1" fitToHeight="0"/>
  <x:rowBreaks count="1" manualBreakCount="1">
    <x:brk id="19" max="16383" man="1"/>
  </x:rowBreaks>
  <x:drawing xmlns:r="http://schemas.openxmlformats.org/officeDocument/2006/relationships" r:id="R029afba6742343c1"/>
</x:worksheet>
</file>